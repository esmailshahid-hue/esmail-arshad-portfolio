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smail97/Downloads/"/>
    </mc:Choice>
  </mc:AlternateContent>
  <xr:revisionPtr revIDLastSave="0" documentId="13_ncr:1_{1955381A-658F-EE47-B5B7-45F25BC1AF88}" xr6:coauthVersionLast="47" xr6:coauthVersionMax="47" xr10:uidLastSave="{00000000-0000-0000-0000-000000000000}"/>
  <bookViews>
    <workbookView xWindow="0" yWindow="660" windowWidth="29400" windowHeight="17400" activeTab="8" xr2:uid="{00000000-000D-0000-FFFF-FFFF00000000}"/>
  </bookViews>
  <sheets>
    <sheet name="Project_Overview" sheetId="1" r:id="rId1"/>
    <sheet name="Dashboard" sheetId="2" r:id="rId2"/>
    <sheet name="Raw_Data" sheetId="3" r:id="rId3"/>
    <sheet name="Cleaned_Demand" sheetId="4" r:id="rId4"/>
    <sheet name="SKU_Master" sheetId="5" r:id="rId5"/>
    <sheet name="Forecast_Model" sheetId="6" r:id="rId6"/>
    <sheet name="Reorder_Planning" sheetId="7" r:id="rId7"/>
    <sheet name="Trend_Analysis" sheetId="8" r:id="rId8"/>
    <sheet name="Inventory_Risk_Review" sheetId="9" r:id="rId9"/>
    <sheet name="Planning_View" sheetId="10" r:id="rId10"/>
    <sheet name="Summary_Findings" sheetId="11" r:id="rId11"/>
    <sheet name="Assump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7" l="1"/>
  <c r="R25" i="7"/>
  <c r="Q25" i="7"/>
  <c r="S25" i="7" s="1"/>
  <c r="U24" i="7"/>
  <c r="R24" i="7"/>
  <c r="Q24" i="7"/>
  <c r="S24" i="7" s="1"/>
  <c r="T24" i="7" s="1"/>
  <c r="U23" i="7"/>
  <c r="S23" i="7"/>
  <c r="R23" i="7"/>
  <c r="T23" i="7" s="1"/>
  <c r="Q23" i="7"/>
  <c r="U22" i="7"/>
  <c r="R22" i="7"/>
  <c r="Q22" i="7"/>
  <c r="S22" i="7" s="1"/>
  <c r="T22" i="7" s="1"/>
  <c r="U21" i="7"/>
  <c r="S21" i="7"/>
  <c r="T21" i="7" s="1"/>
  <c r="R21" i="7"/>
  <c r="Q21" i="7"/>
  <c r="U20" i="7"/>
  <c r="S20" i="7"/>
  <c r="R20" i="7"/>
  <c r="T20" i="7" s="1"/>
  <c r="Q20" i="7"/>
  <c r="U19" i="7"/>
  <c r="R19" i="7"/>
  <c r="Q19" i="7"/>
  <c r="S19" i="7" s="1"/>
  <c r="U18" i="7"/>
  <c r="R18" i="7"/>
  <c r="Q18" i="7"/>
  <c r="S18" i="7" s="1"/>
  <c r="U17" i="7"/>
  <c r="R17" i="7"/>
  <c r="Q17" i="7"/>
  <c r="S17" i="7" s="1"/>
  <c r="U16" i="7"/>
  <c r="R16" i="7"/>
  <c r="Q16" i="7"/>
  <c r="S16" i="7" s="1"/>
  <c r="T16" i="7" s="1"/>
  <c r="U15" i="7"/>
  <c r="S15" i="7"/>
  <c r="R15" i="7"/>
  <c r="T15" i="7" s="1"/>
  <c r="Q15" i="7"/>
  <c r="U14" i="7"/>
  <c r="R14" i="7"/>
  <c r="Q14" i="7"/>
  <c r="S14" i="7" s="1"/>
  <c r="T14" i="7" s="1"/>
  <c r="U13" i="7"/>
  <c r="S13" i="7"/>
  <c r="T13" i="7" s="1"/>
  <c r="R13" i="7"/>
  <c r="Q13" i="7"/>
  <c r="U12" i="7"/>
  <c r="T12" i="7"/>
  <c r="X12" i="7" s="1"/>
  <c r="Y12" i="7" s="1"/>
  <c r="S12" i="7"/>
  <c r="R12" i="7"/>
  <c r="Q12" i="7"/>
  <c r="U11" i="7"/>
  <c r="S11" i="7"/>
  <c r="T11" i="7" s="1"/>
  <c r="R11" i="7"/>
  <c r="Q11" i="7"/>
  <c r="U10" i="7"/>
  <c r="S10" i="7"/>
  <c r="R10" i="7"/>
  <c r="T10" i="7" s="1"/>
  <c r="Q10" i="7"/>
  <c r="U9" i="7"/>
  <c r="R9" i="7"/>
  <c r="Q9" i="7"/>
  <c r="S9" i="7" s="1"/>
  <c r="U8" i="7"/>
  <c r="R8" i="7"/>
  <c r="Q8" i="7"/>
  <c r="S8" i="7" s="1"/>
  <c r="U7" i="7"/>
  <c r="R7" i="7"/>
  <c r="Q7" i="7"/>
  <c r="S7" i="7" s="1"/>
  <c r="U6" i="7"/>
  <c r="R6" i="7"/>
  <c r="Q6" i="7"/>
  <c r="S6" i="7" s="1"/>
  <c r="T6" i="7" s="1"/>
  <c r="U5" i="7"/>
  <c r="S5" i="7"/>
  <c r="R5" i="7"/>
  <c r="T5" i="7" s="1"/>
  <c r="Q5" i="7"/>
  <c r="U4" i="7"/>
  <c r="R4" i="7"/>
  <c r="Q4" i="7"/>
  <c r="S4" i="7" s="1"/>
  <c r="T4" i="7" s="1"/>
  <c r="U3" i="7"/>
  <c r="S3" i="7"/>
  <c r="T3" i="7" s="1"/>
  <c r="R3" i="7"/>
  <c r="Q3" i="7"/>
  <c r="U2" i="7"/>
  <c r="T2" i="7"/>
  <c r="V2" i="7" s="1"/>
  <c r="W2" i="7" s="1"/>
  <c r="S2" i="7"/>
  <c r="R2" i="7"/>
  <c r="Q2" i="7"/>
  <c r="X24" i="7" l="1"/>
  <c r="Y24" i="7" s="1"/>
  <c r="V24" i="7"/>
  <c r="W24" i="7" s="1"/>
  <c r="T7" i="7"/>
  <c r="X21" i="7"/>
  <c r="Y21" i="7" s="1"/>
  <c r="V21" i="7"/>
  <c r="W21" i="7" s="1"/>
  <c r="X22" i="7"/>
  <c r="Y22" i="7" s="1"/>
  <c r="V22" i="7"/>
  <c r="W22" i="7" s="1"/>
  <c r="T25" i="7"/>
  <c r="X14" i="7"/>
  <c r="Y14" i="7" s="1"/>
  <c r="V14" i="7"/>
  <c r="W14" i="7" s="1"/>
  <c r="X20" i="7"/>
  <c r="Y20" i="7" s="1"/>
  <c r="V20" i="7"/>
  <c r="W20" i="7" s="1"/>
  <c r="V6" i="7"/>
  <c r="W6" i="7" s="1"/>
  <c r="X6" i="7"/>
  <c r="Y6" i="7" s="1"/>
  <c r="T9" i="7"/>
  <c r="T17" i="7"/>
  <c r="V23" i="7"/>
  <c r="W23" i="7" s="1"/>
  <c r="X23" i="7"/>
  <c r="Y23" i="7" s="1"/>
  <c r="X3" i="7"/>
  <c r="Y3" i="7" s="1"/>
  <c r="V3" i="7"/>
  <c r="W3" i="7" s="1"/>
  <c r="V4" i="7"/>
  <c r="W4" i="7" s="1"/>
  <c r="X4" i="7"/>
  <c r="Y4" i="7" s="1"/>
  <c r="X10" i="7"/>
  <c r="Y10" i="7" s="1"/>
  <c r="V10" i="7"/>
  <c r="W10" i="7" s="1"/>
  <c r="V15" i="7"/>
  <c r="W15" i="7" s="1"/>
  <c r="X15" i="7"/>
  <c r="Y15" i="7" s="1"/>
  <c r="T18" i="7"/>
  <c r="V16" i="7"/>
  <c r="W16" i="7" s="1"/>
  <c r="X16" i="7"/>
  <c r="Y16" i="7" s="1"/>
  <c r="T19" i="7"/>
  <c r="V5" i="7"/>
  <c r="W5" i="7" s="1"/>
  <c r="X5" i="7"/>
  <c r="Y5" i="7" s="1"/>
  <c r="T8" i="7"/>
  <c r="V13" i="7"/>
  <c r="W13" i="7" s="1"/>
  <c r="X13" i="7"/>
  <c r="Y13" i="7" s="1"/>
  <c r="X11" i="7"/>
  <c r="Y11" i="7" s="1"/>
  <c r="V11" i="7"/>
  <c r="W11" i="7" s="1"/>
  <c r="V12" i="7"/>
  <c r="W12" i="7" s="1"/>
  <c r="X2" i="7"/>
  <c r="Y2" i="7" s="1"/>
  <c r="X19" i="7" l="1"/>
  <c r="Y19" i="7" s="1"/>
  <c r="V19" i="7"/>
  <c r="W19" i="7" s="1"/>
  <c r="X9" i="7"/>
  <c r="Y9" i="7" s="1"/>
  <c r="V9" i="7"/>
  <c r="W9" i="7" s="1"/>
  <c r="X8" i="7"/>
  <c r="Y8" i="7" s="1"/>
  <c r="V8" i="7"/>
  <c r="W8" i="7" s="1"/>
  <c r="X7" i="7"/>
  <c r="Y7" i="7" s="1"/>
  <c r="V7" i="7"/>
  <c r="W7" i="7" s="1"/>
  <c r="X25" i="7"/>
  <c r="Y25" i="7" s="1"/>
  <c r="V25" i="7"/>
  <c r="W25" i="7" s="1"/>
  <c r="X18" i="7"/>
  <c r="Y18" i="7" s="1"/>
  <c r="V18" i="7"/>
  <c r="W18" i="7" s="1"/>
  <c r="X17" i="7"/>
  <c r="Y17" i="7" s="1"/>
  <c r="V17" i="7"/>
  <c r="W17" i="7" s="1"/>
</calcChain>
</file>

<file path=xl/sharedStrings.xml><?xml version="1.0" encoding="utf-8"?>
<sst xmlns="http://schemas.openxmlformats.org/spreadsheetml/2006/main" count="5832" uniqueCount="674">
  <si>
    <t>Planning Assumptions</t>
  </si>
  <si>
    <t>Planning Snapshot Date</t>
  </si>
  <si>
    <t>Service Level Z-Score</t>
  </si>
  <si>
    <t>Forecast Frequency</t>
  </si>
  <si>
    <t>Monthly</t>
  </si>
  <si>
    <t>Lead Time Unit</t>
  </si>
  <si>
    <t>Days</t>
  </si>
  <si>
    <t>Safety Stock Formula</t>
  </si>
  <si>
    <t>Z-score x monthly demand standard deviation / SQRT(30) x SQRT(lead time days)</t>
  </si>
  <si>
    <t>Reorder Point Formula</t>
  </si>
  <si>
    <t>Lead time demand + safety stock</t>
  </si>
  <si>
    <t>Risk Logic</t>
  </si>
  <si>
    <t>Stockout Risk if available quantity &lt;= reorder point; Excess Stock if months of supply &gt; 6; Low Cover if months of supply &lt; 1.5.</t>
  </si>
  <si>
    <t>MTO Assumption</t>
  </si>
  <si>
    <t>MTO SKUs are still shown in the model, but final reorder action should be validated with the planner before purchase.</t>
  </si>
  <si>
    <t>Inventory Forecasting and Reorder Planning Model</t>
  </si>
  <si>
    <t>Workbook Purpose</t>
  </si>
  <si>
    <t>Develop an Excel-based inventory forecasting and replenishment model using historical demand and inventory data.</t>
  </si>
  <si>
    <t>Scope Covered</t>
  </si>
  <si>
    <t>Demand review, SKU classification, forecast model, safety stock, reorder point, replenishment planning view, risk review, and findings.</t>
  </si>
  <si>
    <t>Data Period</t>
  </si>
  <si>
    <t>Historical demand: Jan 2024 to Jun 2025. Planning snapshot: Jul 2025.</t>
  </si>
  <si>
    <t>Model Level</t>
  </si>
  <si>
    <t>SKU-level monthly demand planning.</t>
  </si>
  <si>
    <t>Primary Output</t>
  </si>
  <si>
    <t>Reorder planning view with forecast demand, safety stock, reorder point, months of supply, risk status, and recommended action.</t>
  </si>
  <si>
    <t>How to Use</t>
  </si>
  <si>
    <t>Review Dashboard and Planning_View first, then use Forecast_Model, Reorder_Planning, and Inventory_Risk_Review for supporting detail.</t>
  </si>
  <si>
    <t>Inventory Forecasting and Reorder Planning Dashboard</t>
  </si>
  <si>
    <t>Total SKUs</t>
  </si>
  <si>
    <t>SKU</t>
  </si>
  <si>
    <t>Forecast Monthly Demand</t>
  </si>
  <si>
    <t>Risk_Status</t>
  </si>
  <si>
    <t>SKU_Count</t>
  </si>
  <si>
    <t>SKU-1019</t>
  </si>
  <si>
    <t>Balanced</t>
  </si>
  <si>
    <t>Stockout Risk SKUs</t>
  </si>
  <si>
    <t>SKU-1018</t>
  </si>
  <si>
    <t>Excess Stock</t>
  </si>
  <si>
    <t>Excess Stock SKUs</t>
  </si>
  <si>
    <t>SKU-1009</t>
  </si>
  <si>
    <t>Stockout Risk</t>
  </si>
  <si>
    <t>Suggested Reorder Value</t>
  </si>
  <si>
    <t>SKU-1024</t>
  </si>
  <si>
    <t>Current Inventory Value</t>
  </si>
  <si>
    <t>SKU-1001</t>
  </si>
  <si>
    <t>Top 5 Annual Value Concentration</t>
  </si>
  <si>
    <t>SKU-1002</t>
  </si>
  <si>
    <t>SKU-1003</t>
  </si>
  <si>
    <t>SKU-1007</t>
  </si>
  <si>
    <t>ABC_Class</t>
  </si>
  <si>
    <t>Month</t>
  </si>
  <si>
    <t>Total Demand</t>
  </si>
  <si>
    <t>SKU-1014</t>
  </si>
  <si>
    <t>A</t>
  </si>
  <si>
    <t>SKU-1015</t>
  </si>
  <si>
    <t>B</t>
  </si>
  <si>
    <t>C</t>
  </si>
  <si>
    <t>Demand_Record_ID</t>
  </si>
  <si>
    <t>Item_Description</t>
  </si>
  <si>
    <t>Demand_Month</t>
  </si>
  <si>
    <t>Demand_Qty</t>
  </si>
  <si>
    <t>Customer_Order_Qty</t>
  </si>
  <si>
    <t>Demand_Source</t>
  </si>
  <si>
    <t>UOM</t>
  </si>
  <si>
    <t>DMD-1001-202401</t>
  </si>
  <si>
    <t>Resin Cartridge Standard Grey</t>
  </si>
  <si>
    <t>Service Demand</t>
  </si>
  <si>
    <t>Units</t>
  </si>
  <si>
    <t>DMD-1001-202402</t>
  </si>
  <si>
    <t>DMD-1001-202403</t>
  </si>
  <si>
    <t>ERP Sales Orders</t>
  </si>
  <si>
    <t>DMD-1001-202404</t>
  </si>
  <si>
    <t>Manual Adjustment</t>
  </si>
  <si>
    <t>DMD-1001-202405</t>
  </si>
  <si>
    <t>DMD-1001-202406</t>
  </si>
  <si>
    <t>DMD-1001-202407</t>
  </si>
  <si>
    <t>DMD-1001-202408</t>
  </si>
  <si>
    <t>Distributor Forecast</t>
  </si>
  <si>
    <t>DMD-1001-202409</t>
  </si>
  <si>
    <t>DMD-1001-202410</t>
  </si>
  <si>
    <t>DMD-1001-202411</t>
  </si>
  <si>
    <t>DMD-1001-202412</t>
  </si>
  <si>
    <t>DMD-1001-202501</t>
  </si>
  <si>
    <t>DMD-1001-202502</t>
  </si>
  <si>
    <t>DMD-1001-202503</t>
  </si>
  <si>
    <t>DMD-1001-202504</t>
  </si>
  <si>
    <t>DMD-1001-202505</t>
  </si>
  <si>
    <t>DMD-1001-202506</t>
  </si>
  <si>
    <t>DMD-1002-202401</t>
  </si>
  <si>
    <t>Resin Cartridge Tough 2000</t>
  </si>
  <si>
    <t>DMD-1002-202402</t>
  </si>
  <si>
    <t>DMD-1002-202403</t>
  </si>
  <si>
    <t>DMD-1002-202404</t>
  </si>
  <si>
    <t>DMD-1002-202405</t>
  </si>
  <si>
    <t>DMD-1002-202406</t>
  </si>
  <si>
    <t>DMD-1002-202407</t>
  </si>
  <si>
    <t>DMD-1002-202408</t>
  </si>
  <si>
    <t>DMD-1002-202409</t>
  </si>
  <si>
    <t>DMD-1002-202410</t>
  </si>
  <si>
    <t>DMD-1002-202411</t>
  </si>
  <si>
    <t>DMD-1002-202412</t>
  </si>
  <si>
    <t>DMD-1002-202501</t>
  </si>
  <si>
    <t>DMD-1002-202502</t>
  </si>
  <si>
    <t>DMD-1002-202503</t>
  </si>
  <si>
    <t>DMD-1002-202504</t>
  </si>
  <si>
    <t>DMD-1002-202505</t>
  </si>
  <si>
    <t>DMD-1002-202506</t>
  </si>
  <si>
    <t>DMD-1003-202401</t>
  </si>
  <si>
    <t>Resin Cartridge Clear</t>
  </si>
  <si>
    <t>DMD-1003-202402</t>
  </si>
  <si>
    <t>DMD-1003-202403</t>
  </si>
  <si>
    <t>DMD-1003-202404</t>
  </si>
  <si>
    <t>DMD-1003-202405</t>
  </si>
  <si>
    <t>DMD-1003-202406</t>
  </si>
  <si>
    <t>DMD-1003-202407</t>
  </si>
  <si>
    <t>DMD-1003-202408</t>
  </si>
  <si>
    <t>DMD-1003-202409</t>
  </si>
  <si>
    <t>DMD-1003-202410</t>
  </si>
  <si>
    <t>DMD-1003-202411</t>
  </si>
  <si>
    <t>DMD-1003-202412</t>
  </si>
  <si>
    <t>DMD-1003-202501</t>
  </si>
  <si>
    <t>DMD-1003-202502</t>
  </si>
  <si>
    <t>DMD-1003-202503</t>
  </si>
  <si>
    <t>DMD-1003-202504</t>
  </si>
  <si>
    <t>DMD-1003-202505</t>
  </si>
  <si>
    <t>DMD-1003-202506</t>
  </si>
  <si>
    <t>DMD-1004-202401</t>
  </si>
  <si>
    <t>SKU-1004</t>
  </si>
  <si>
    <t>Build Platform Assembly</t>
  </si>
  <si>
    <t>DMD-1004-202402</t>
  </si>
  <si>
    <t>DMD-1004-202403</t>
  </si>
  <si>
    <t>DMD-1004-202404</t>
  </si>
  <si>
    <t>DMD-1004-202405</t>
  </si>
  <si>
    <t>DMD-1004-202406</t>
  </si>
  <si>
    <t>DMD-1004-202407</t>
  </si>
  <si>
    <t>DMD-1004-202408</t>
  </si>
  <si>
    <t>DMD-1004-202409</t>
  </si>
  <si>
    <t>DMD-1004-202410</t>
  </si>
  <si>
    <t>DMD-1004-202411</t>
  </si>
  <si>
    <t>DMD-1004-202412</t>
  </si>
  <si>
    <t>DMD-1004-202501</t>
  </si>
  <si>
    <t>DMD-1004-202502</t>
  </si>
  <si>
    <t>DMD-1004-202503</t>
  </si>
  <si>
    <t>DMD-1004-202504</t>
  </si>
  <si>
    <t>DMD-1004-202505</t>
  </si>
  <si>
    <t>DMD-1004-202506</t>
  </si>
  <si>
    <t>DMD-1005-202401</t>
  </si>
  <si>
    <t>SKU-1005</t>
  </si>
  <si>
    <t>Optical Window Kit</t>
  </si>
  <si>
    <t>DMD-1005-202402</t>
  </si>
  <si>
    <t>DMD-1005-202403</t>
  </si>
  <si>
    <t>DMD-1005-202404</t>
  </si>
  <si>
    <t>DMD-1005-202405</t>
  </si>
  <si>
    <t>DMD-1005-202406</t>
  </si>
  <si>
    <t>DMD-1005-202407</t>
  </si>
  <si>
    <t>DMD-1005-202408</t>
  </si>
  <si>
    <t>DMD-1005-202409</t>
  </si>
  <si>
    <t>DMD-1005-202410</t>
  </si>
  <si>
    <t>DMD-1005-202411</t>
  </si>
  <si>
    <t>DMD-1005-202412</t>
  </si>
  <si>
    <t>DMD-1005-202501</t>
  </si>
  <si>
    <t>DMD-1005-202502</t>
  </si>
  <si>
    <t>DMD-1005-202503</t>
  </si>
  <si>
    <t>DMD-1005-202504</t>
  </si>
  <si>
    <t>DMD-1005-202505</t>
  </si>
  <si>
    <t>DMD-1005-202506</t>
  </si>
  <si>
    <t>DMD-1006-202401</t>
  </si>
  <si>
    <t>SKU-1006</t>
  </si>
  <si>
    <t>Printer Maintenance Kit</t>
  </si>
  <si>
    <t>DMD-1006-202402</t>
  </si>
  <si>
    <t>DMD-1006-202403</t>
  </si>
  <si>
    <t>DMD-1006-202404</t>
  </si>
  <si>
    <t>DMD-1006-202405</t>
  </si>
  <si>
    <t>DMD-1006-202406</t>
  </si>
  <si>
    <t>DMD-1006-202407</t>
  </si>
  <si>
    <t>DMD-1006-202408</t>
  </si>
  <si>
    <t>DMD-1006-202409</t>
  </si>
  <si>
    <t>DMD-1006-202410</t>
  </si>
  <si>
    <t>DMD-1006-202411</t>
  </si>
  <si>
    <t>DMD-1006-202412</t>
  </si>
  <si>
    <t>DMD-1006-202501</t>
  </si>
  <si>
    <t>DMD-1006-202502</t>
  </si>
  <si>
    <t>DMD-1006-202503</t>
  </si>
  <si>
    <t>DMD-1006-202504</t>
  </si>
  <si>
    <t>DMD-1006-202505</t>
  </si>
  <si>
    <t>DMD-1006-202506</t>
  </si>
  <si>
    <t>DMD-1007-202401</t>
  </si>
  <si>
    <t>Tank LT Standard</t>
  </si>
  <si>
    <t>DMD-1007-202402</t>
  </si>
  <si>
    <t>DMD-1007-202403</t>
  </si>
  <si>
    <t>DMD-1007-202404</t>
  </si>
  <si>
    <t>DMD-1007-202405</t>
  </si>
  <si>
    <t>DMD-1007-202406</t>
  </si>
  <si>
    <t>DMD-1007-202407</t>
  </si>
  <si>
    <t>DMD-1007-202408</t>
  </si>
  <si>
    <t>DMD-1007-202409</t>
  </si>
  <si>
    <t>DMD-1007-202410</t>
  </si>
  <si>
    <t>DMD-1007-202411</t>
  </si>
  <si>
    <t>DMD-1007-202412</t>
  </si>
  <si>
    <t>DMD-1007-202501</t>
  </si>
  <si>
    <t>DMD-1007-202502</t>
  </si>
  <si>
    <t>DMD-1007-202503</t>
  </si>
  <si>
    <t>DMD-1007-202504</t>
  </si>
  <si>
    <t>DMD-1007-202505</t>
  </si>
  <si>
    <t>DMD-1007-202506</t>
  </si>
  <si>
    <t>DMD-1008-202401</t>
  </si>
  <si>
    <t>SKU-1008</t>
  </si>
  <si>
    <t>Tank LT High Temp</t>
  </si>
  <si>
    <t>DMD-1008-202402</t>
  </si>
  <si>
    <t>DMD-1008-202403</t>
  </si>
  <si>
    <t>DMD-1008-202404</t>
  </si>
  <si>
    <t>DMD-1008-202405</t>
  </si>
  <si>
    <t>DMD-1008-202406</t>
  </si>
  <si>
    <t>DMD-1008-202407</t>
  </si>
  <si>
    <t>DMD-1008-202408</t>
  </si>
  <si>
    <t>DMD-1008-202409</t>
  </si>
  <si>
    <t>DMD-1008-202410</t>
  </si>
  <si>
    <t>DMD-1008-202411</t>
  </si>
  <si>
    <t>DMD-1008-202412</t>
  </si>
  <si>
    <t>DMD-1008-202501</t>
  </si>
  <si>
    <t>DMD-1008-202502</t>
  </si>
  <si>
    <t>DMD-1008-202503</t>
  </si>
  <si>
    <t>DMD-1008-202504</t>
  </si>
  <si>
    <t>DMD-1008-202505</t>
  </si>
  <si>
    <t>DMD-1008-202506</t>
  </si>
  <si>
    <t>DMD-1009-202401</t>
  </si>
  <si>
    <t>Nozzle Cleaning Tool</t>
  </si>
  <si>
    <t>DMD-1009-202402</t>
  </si>
  <si>
    <t>DMD-1009-202403</t>
  </si>
  <si>
    <t>DMD-1009-202404</t>
  </si>
  <si>
    <t>DMD-1009-202405</t>
  </si>
  <si>
    <t>DMD-1009-202406</t>
  </si>
  <si>
    <t>DMD-1009-202407</t>
  </si>
  <si>
    <t>DMD-1009-202408</t>
  </si>
  <si>
    <t>DMD-1009-202409</t>
  </si>
  <si>
    <t>DMD-1009-202410</t>
  </si>
  <si>
    <t>DMD-1009-202411</t>
  </si>
  <si>
    <t>DMD-1009-202412</t>
  </si>
  <si>
    <t>DMD-1009-202501</t>
  </si>
  <si>
    <t>DMD-1009-202502</t>
  </si>
  <si>
    <t>DMD-1009-202503</t>
  </si>
  <si>
    <t>DMD-1009-202504</t>
  </si>
  <si>
    <t>DMD-1009-202505</t>
  </si>
  <si>
    <t>DMD-1009-202506</t>
  </si>
  <si>
    <t>DMD-1010-202401</t>
  </si>
  <si>
    <t>SKU-1010</t>
  </si>
  <si>
    <t>Replacement Filter Pack</t>
  </si>
  <si>
    <t>DMD-1010-202402</t>
  </si>
  <si>
    <t>DMD-1010-202403</t>
  </si>
  <si>
    <t>DMD-1010-202404</t>
  </si>
  <si>
    <t>DMD-1010-202405</t>
  </si>
  <si>
    <t>DMD-1010-202406</t>
  </si>
  <si>
    <t>DMD-1010-202407</t>
  </si>
  <si>
    <t>DMD-1010-202408</t>
  </si>
  <si>
    <t>DMD-1010-202409</t>
  </si>
  <si>
    <t>DMD-1010-202410</t>
  </si>
  <si>
    <t>DMD-1010-202411</t>
  </si>
  <si>
    <t>DMD-1010-202412</t>
  </si>
  <si>
    <t>DMD-1010-202501</t>
  </si>
  <si>
    <t>DMD-1010-202502</t>
  </si>
  <si>
    <t>DMD-1010-202503</t>
  </si>
  <si>
    <t>DMD-1010-202504</t>
  </si>
  <si>
    <t>DMD-1010-202505</t>
  </si>
  <si>
    <t>DMD-1010-202506</t>
  </si>
  <si>
    <t>DMD-1011-202401</t>
  </si>
  <si>
    <t>SKU-1011</t>
  </si>
  <si>
    <t>Industrial Pump Seal</t>
  </si>
  <si>
    <t>DMD-1011-202402</t>
  </si>
  <si>
    <t>DMD-1011-202403</t>
  </si>
  <si>
    <t>DMD-1011-202404</t>
  </si>
  <si>
    <t>DMD-1011-202405</t>
  </si>
  <si>
    <t>DMD-1011-202406</t>
  </si>
  <si>
    <t>DMD-1011-202407</t>
  </si>
  <si>
    <t>DMD-1011-202408</t>
  </si>
  <si>
    <t>DMD-1011-202409</t>
  </si>
  <si>
    <t>DMD-1011-202410</t>
  </si>
  <si>
    <t>DMD-1011-202411</t>
  </si>
  <si>
    <t>DMD-1011-202412</t>
  </si>
  <si>
    <t>DMD-1011-202501</t>
  </si>
  <si>
    <t>DMD-1011-202502</t>
  </si>
  <si>
    <t>DMD-1011-202503</t>
  </si>
  <si>
    <t>DMD-1011-202504</t>
  </si>
  <si>
    <t>DMD-1011-202505</t>
  </si>
  <si>
    <t>DMD-1011-202506</t>
  </si>
  <si>
    <t>DMD-1012-202401</t>
  </si>
  <si>
    <t>SKU-1012</t>
  </si>
  <si>
    <t>Stepper Motor 24V</t>
  </si>
  <si>
    <t>DMD-1012-202402</t>
  </si>
  <si>
    <t>DMD-1012-202403</t>
  </si>
  <si>
    <t>DMD-1012-202404</t>
  </si>
  <si>
    <t>DMD-1012-202405</t>
  </si>
  <si>
    <t>DMD-1012-202406</t>
  </si>
  <si>
    <t>DMD-1012-202407</t>
  </si>
  <si>
    <t>DMD-1012-202408</t>
  </si>
  <si>
    <t>DMD-1012-202409</t>
  </si>
  <si>
    <t>DMD-1012-202410</t>
  </si>
  <si>
    <t>DMD-1012-202411</t>
  </si>
  <si>
    <t>DMD-1012-202412</t>
  </si>
  <si>
    <t>DMD-1012-202501</t>
  </si>
  <si>
    <t>DMD-1012-202502</t>
  </si>
  <si>
    <t>DMD-1012-202503</t>
  </si>
  <si>
    <t>DMD-1012-202504</t>
  </si>
  <si>
    <t>DMD-1012-202505</t>
  </si>
  <si>
    <t>DMD-1012-202506</t>
  </si>
  <si>
    <t>DMD-1013-202401</t>
  </si>
  <si>
    <t>SKU-1013</t>
  </si>
  <si>
    <t>Main Control Board</t>
  </si>
  <si>
    <t>DMD-1013-202402</t>
  </si>
  <si>
    <t>DMD-1013-202403</t>
  </si>
  <si>
    <t>DMD-1013-202404</t>
  </si>
  <si>
    <t>DMD-1013-202405</t>
  </si>
  <si>
    <t>DMD-1013-202406</t>
  </si>
  <si>
    <t>DMD-1013-202407</t>
  </si>
  <si>
    <t>DMD-1013-202408</t>
  </si>
  <si>
    <t>DMD-1013-202409</t>
  </si>
  <si>
    <t>DMD-1013-202410</t>
  </si>
  <si>
    <t>DMD-1013-202411</t>
  </si>
  <si>
    <t>DMD-1013-202412</t>
  </si>
  <si>
    <t>DMD-1013-202501</t>
  </si>
  <si>
    <t>DMD-1013-202502</t>
  </si>
  <si>
    <t>DMD-1013-202503</t>
  </si>
  <si>
    <t>DMD-1013-202504</t>
  </si>
  <si>
    <t>DMD-1013-202505</t>
  </si>
  <si>
    <t>DMD-1013-202506</t>
  </si>
  <si>
    <t>DMD-1014-202401</t>
  </si>
  <si>
    <t>Cable Harness A</t>
  </si>
  <si>
    <t>DMD-1014-202402</t>
  </si>
  <si>
    <t>DMD-1014-202403</t>
  </si>
  <si>
    <t>DMD-1014-202404</t>
  </si>
  <si>
    <t>DMD-1014-202405</t>
  </si>
  <si>
    <t>DMD-1014-202406</t>
  </si>
  <si>
    <t>DMD-1014-202407</t>
  </si>
  <si>
    <t>DMD-1014-202408</t>
  </si>
  <si>
    <t>DMD-1014-202409</t>
  </si>
  <si>
    <t>DMD-1014-202410</t>
  </si>
  <si>
    <t>DMD-1014-202411</t>
  </si>
  <si>
    <t>DMD-1014-202412</t>
  </si>
  <si>
    <t>DMD-1014-202501</t>
  </si>
  <si>
    <t>DMD-1014-202502</t>
  </si>
  <si>
    <t>DMD-1014-202503</t>
  </si>
  <si>
    <t>DMD-1014-202504</t>
  </si>
  <si>
    <t>DMD-1014-202505</t>
  </si>
  <si>
    <t>sku-1014</t>
  </si>
  <si>
    <t>DMD-1014-202506</t>
  </si>
  <si>
    <t>DMD-1015-202401</t>
  </si>
  <si>
    <t>Cable Harness B</t>
  </si>
  <si>
    <t>DMD-1015-202402</t>
  </si>
  <si>
    <t>DMD-1015-202403</t>
  </si>
  <si>
    <t>DMD-1015-202404</t>
  </si>
  <si>
    <t>DMD-1015-202405</t>
  </si>
  <si>
    <t>DMD-1015-202406</t>
  </si>
  <si>
    <t>DMD-1015-202407</t>
  </si>
  <si>
    <t>DMD-1015-202408</t>
  </si>
  <si>
    <t>DMD-1015-202409</t>
  </si>
  <si>
    <t>DMD-1015-202410</t>
  </si>
  <si>
    <t>DMD-1015-202411</t>
  </si>
  <si>
    <t>DMD-1015-202412</t>
  </si>
  <si>
    <t>DMD-1015-202501</t>
  </si>
  <si>
    <t>DMD-1015-202502</t>
  </si>
  <si>
    <t>DMD-1015-202503</t>
  </si>
  <si>
    <t>DMD-1015-202504</t>
  </si>
  <si>
    <t>DMD-1015-202505</t>
  </si>
  <si>
    <t>DMD-1015-202506</t>
  </si>
  <si>
    <t>DMD-1016-202401</t>
  </si>
  <si>
    <t>SKU-1016</t>
  </si>
  <si>
    <t>Sensor Module X</t>
  </si>
  <si>
    <t>DMD-1016-202402</t>
  </si>
  <si>
    <t>DMD-1016-202403</t>
  </si>
  <si>
    <t>DMD-1016-202404</t>
  </si>
  <si>
    <t>DMD-1016-202405</t>
  </si>
  <si>
    <t>DMD-1016-202406</t>
  </si>
  <si>
    <t>DMD-1016-202407</t>
  </si>
  <si>
    <t>DMD-1016-202408</t>
  </si>
  <si>
    <t>DMD-1016-202409</t>
  </si>
  <si>
    <t>DMD-1016-202410</t>
  </si>
  <si>
    <t>DMD-1016-202411</t>
  </si>
  <si>
    <t>DMD-1016-202412</t>
  </si>
  <si>
    <t>DMD-1016-202501</t>
  </si>
  <si>
    <t>DMD-1016-202502</t>
  </si>
  <si>
    <t>DMD-1016-202503</t>
  </si>
  <si>
    <t>DMD-1016-202504</t>
  </si>
  <si>
    <t>DMD-1016-202505</t>
  </si>
  <si>
    <t>DMD-1016-202506</t>
  </si>
  <si>
    <t>DMD-1017-202401</t>
  </si>
  <si>
    <t>SKU-1017</t>
  </si>
  <si>
    <t>LCD Display Panel</t>
  </si>
  <si>
    <t>DMD-1017-202402</t>
  </si>
  <si>
    <t>DMD-1017-202403</t>
  </si>
  <si>
    <t>DMD-1017-202404</t>
  </si>
  <si>
    <t>DMD-1017-202405</t>
  </si>
  <si>
    <t>DMD-1017-202406</t>
  </si>
  <si>
    <t>DMD-1017-202407</t>
  </si>
  <si>
    <t>DMD-1017-202408</t>
  </si>
  <si>
    <t>DMD-1017-202409</t>
  </si>
  <si>
    <t>DMD-1017-202410</t>
  </si>
  <si>
    <t>DMD-1017-202411</t>
  </si>
  <si>
    <t>DMD-1017-202412</t>
  </si>
  <si>
    <t>DMD-1017-202501</t>
  </si>
  <si>
    <t>DMD-1017-202502</t>
  </si>
  <si>
    <t>DMD-1017-202503</t>
  </si>
  <si>
    <t>DMD-1017-202504</t>
  </si>
  <si>
    <t>DMD-1017-202505</t>
  </si>
  <si>
    <t>DMD-1017-202506</t>
  </si>
  <si>
    <t>DMD-1018-202401</t>
  </si>
  <si>
    <t>Shipping Carton Large</t>
  </si>
  <si>
    <t>DMD-1018-202402</t>
  </si>
  <si>
    <t>DMD-1018-202403</t>
  </si>
  <si>
    <t>DMD-1018-202404</t>
  </si>
  <si>
    <t>DMD-1018-202405</t>
  </si>
  <si>
    <t>DMD-1018-202406</t>
  </si>
  <si>
    <t>DMD-1018-202407</t>
  </si>
  <si>
    <t>DMD-1018-202408</t>
  </si>
  <si>
    <t>DMD-1018-202409</t>
  </si>
  <si>
    <t>DMD-1018-202410</t>
  </si>
  <si>
    <t>DMD-1018-202411</t>
  </si>
  <si>
    <t>DMD-1018-202412</t>
  </si>
  <si>
    <t>DMD-1018-202501</t>
  </si>
  <si>
    <t>DMD-1018-202502</t>
  </si>
  <si>
    <t>DMD-1018-202503</t>
  </si>
  <si>
    <t>DMD-1018-202504</t>
  </si>
  <si>
    <t>DMD-1018-202505</t>
  </si>
  <si>
    <t>DMD-1018-202506</t>
  </si>
  <si>
    <t>DMD-1019-202401</t>
  </si>
  <si>
    <t>Foam Insert Kit</t>
  </si>
  <si>
    <t>DMD-1019-202402</t>
  </si>
  <si>
    <t>DMD-1019-202403</t>
  </si>
  <si>
    <t>DMD-1019-202404</t>
  </si>
  <si>
    <t>DMD-1019-202405</t>
  </si>
  <si>
    <t>DMD-1019-202406</t>
  </si>
  <si>
    <t>DMD-1019-202407</t>
  </si>
  <si>
    <t>DMD-1019-202408</t>
  </si>
  <si>
    <t>DMD-1019-202409</t>
  </si>
  <si>
    <t>DMD-1019-202410</t>
  </si>
  <si>
    <t>DMD-1019-202411</t>
  </si>
  <si>
    <t>DMD-1019-202412</t>
  </si>
  <si>
    <t>DMD-1019-202501</t>
  </si>
  <si>
    <t>DMD-1019-202502</t>
  </si>
  <si>
    <t>DMD-1019-202503</t>
  </si>
  <si>
    <t>DMD-1019-202504</t>
  </si>
  <si>
    <t>DMD-1019-202505</t>
  </si>
  <si>
    <t>DMD-1019-202506</t>
  </si>
  <si>
    <t>DMD-1020-202401</t>
  </si>
  <si>
    <t>SKU-1020</t>
  </si>
  <si>
    <t>Calibration Target</t>
  </si>
  <si>
    <t>DMD-1020-202402</t>
  </si>
  <si>
    <t>DMD-1020-202403</t>
  </si>
  <si>
    <t>DMD-1020-202404</t>
  </si>
  <si>
    <t>DMD-1020-202405</t>
  </si>
  <si>
    <t>DMD-1020-202406</t>
  </si>
  <si>
    <t>DMD-1020-202407</t>
  </si>
  <si>
    <t>DMD-1020-202408</t>
  </si>
  <si>
    <t>DMD-1020-202409</t>
  </si>
  <si>
    <t>DMD-1020-202410</t>
  </si>
  <si>
    <t>DMD-1020-202411</t>
  </si>
  <si>
    <t>DMD-1020-202412</t>
  </si>
  <si>
    <t>DMD-1020-202501</t>
  </si>
  <si>
    <t>DMD-1020-202502</t>
  </si>
  <si>
    <t>DMD-1020-202503</t>
  </si>
  <si>
    <t>DMD-1020-202504</t>
  </si>
  <si>
    <t>DMD-1020-202505</t>
  </si>
  <si>
    <t>DMD-1020-202506</t>
  </si>
  <si>
    <t>DMD-1021-202401</t>
  </si>
  <si>
    <t>SKU-1021</t>
  </si>
  <si>
    <t>Battery Module</t>
  </si>
  <si>
    <t>DMD-1021-202402</t>
  </si>
  <si>
    <t>DMD-1021-202403</t>
  </si>
  <si>
    <t>DMD-1021-202404</t>
  </si>
  <si>
    <t>DMD-1021-202405</t>
  </si>
  <si>
    <t>DMD-1021-202406</t>
  </si>
  <si>
    <t>DMD-1021-202407</t>
  </si>
  <si>
    <t>DMD-1021-202408</t>
  </si>
  <si>
    <t>DMD-1021-202409</t>
  </si>
  <si>
    <t>DMD-1021-202410</t>
  </si>
  <si>
    <t>DMD-1021-202411</t>
  </si>
  <si>
    <t>DMD-1021-202412</t>
  </si>
  <si>
    <t>DMD-1021-202501</t>
  </si>
  <si>
    <t>DMD-1021-202502</t>
  </si>
  <si>
    <t>DMD-1021-202503</t>
  </si>
  <si>
    <t>DMD-1021-202504</t>
  </si>
  <si>
    <t>DMD-1021-202505</t>
  </si>
  <si>
    <t>DMD-1021-202506</t>
  </si>
  <si>
    <t>DMD-1022-202401</t>
  </si>
  <si>
    <t>SKU-1022</t>
  </si>
  <si>
    <t>Lithium Iron Phosphate Pack</t>
  </si>
  <si>
    <t>DMD-1022-202402</t>
  </si>
  <si>
    <t>DMD-1022-202403</t>
  </si>
  <si>
    <t>DMD-1022-202404</t>
  </si>
  <si>
    <t>DMD-1022-202405</t>
  </si>
  <si>
    <t>DMD-1022-202406</t>
  </si>
  <si>
    <t>DMD-1022-202407</t>
  </si>
  <si>
    <t>DMD-1022-202408</t>
  </si>
  <si>
    <t>DMD-1022-202409</t>
  </si>
  <si>
    <t>DMD-1022-202410</t>
  </si>
  <si>
    <t>DMD-1022-202411</t>
  </si>
  <si>
    <t>DMD-1022-202412</t>
  </si>
  <si>
    <t>DMD-1022-202501</t>
  </si>
  <si>
    <t>DMD-1022-202502</t>
  </si>
  <si>
    <t>DMD-1022-202503</t>
  </si>
  <si>
    <t>DMD-1022-202504</t>
  </si>
  <si>
    <t>DMD-1022-202505</t>
  </si>
  <si>
    <t>DMD-1022-202506</t>
  </si>
  <si>
    <t>DMD-1023-202401</t>
  </si>
  <si>
    <t>SKU-1023</t>
  </si>
  <si>
    <t>Inverter Board</t>
  </si>
  <si>
    <t>DMD-1023-202402</t>
  </si>
  <si>
    <t>DMD-1023-202403</t>
  </si>
  <si>
    <t>DMD-1023-202404</t>
  </si>
  <si>
    <t>DMD-1023-202405</t>
  </si>
  <si>
    <t>DMD-1023-202406</t>
  </si>
  <si>
    <t>DMD-1023-202407</t>
  </si>
  <si>
    <t>DMD-1023-202408</t>
  </si>
  <si>
    <t>DMD-1023-202409</t>
  </si>
  <si>
    <t>DMD-1023-202410</t>
  </si>
  <si>
    <t>DMD-1023-202411</t>
  </si>
  <si>
    <t>DMD-1023-202412</t>
  </si>
  <si>
    <t>DMD-1023-202501</t>
  </si>
  <si>
    <t>DMD-1023-202502</t>
  </si>
  <si>
    <t>DMD-1023-202503</t>
  </si>
  <si>
    <t>DMD-1023-202504</t>
  </si>
  <si>
    <t>DMD-1023-202505</t>
  </si>
  <si>
    <t>DMD-1023-202506</t>
  </si>
  <si>
    <t>DMD-1024-202401</t>
  </si>
  <si>
    <t>Thermal Paste Tube</t>
  </si>
  <si>
    <t>DMD-1024-202402</t>
  </si>
  <si>
    <t>DMD-1024-202403</t>
  </si>
  <si>
    <t>DMD-1024-202404</t>
  </si>
  <si>
    <t>DMD-1024-202405</t>
  </si>
  <si>
    <t>DMD-1024-202406</t>
  </si>
  <si>
    <t>DMD-1024-202407</t>
  </si>
  <si>
    <t>DMD-1024-202408</t>
  </si>
  <si>
    <t>DMD-1024-202409</t>
  </si>
  <si>
    <t>DMD-1024-202410</t>
  </si>
  <si>
    <t>DMD-1024-202411</t>
  </si>
  <si>
    <t>DMD-1024-202412</t>
  </si>
  <si>
    <t>DMD-1024-202501</t>
  </si>
  <si>
    <t>DMD-1024-202502</t>
  </si>
  <si>
    <t>DMD-1024-202503</t>
  </si>
  <si>
    <t>DMD-1024-202504</t>
  </si>
  <si>
    <t>DMD-1024-202505</t>
  </si>
  <si>
    <t>DMD-1024-202506</t>
  </si>
  <si>
    <t>SKU_Raw</t>
  </si>
  <si>
    <t>SKU_Clean</t>
  </si>
  <si>
    <t>Year</t>
  </si>
  <si>
    <t>Month_Number</t>
  </si>
  <si>
    <t>Month_Start</t>
  </si>
  <si>
    <t>Item_Category</t>
  </si>
  <si>
    <t>Planning_Type</t>
  </si>
  <si>
    <t>Supplier_Raw</t>
  </si>
  <si>
    <t>Supplier_Standardized</t>
  </si>
  <si>
    <t>On_Hand_Qty</t>
  </si>
  <si>
    <t>On_Order_Qty</t>
  </si>
  <si>
    <t>Allocated_Qty</t>
  </si>
  <si>
    <t>Available_Qty</t>
  </si>
  <si>
    <t>Unit_Cost</t>
  </si>
  <si>
    <t>Lead_Time_Days</t>
  </si>
  <si>
    <t>MOQ</t>
  </si>
  <si>
    <t>ERP_Safety_Min</t>
  </si>
  <si>
    <t>Item_Status</t>
  </si>
  <si>
    <t>Finished Goods</t>
  </si>
  <si>
    <t>MTS</t>
  </si>
  <si>
    <t>Polymer Supply Co</t>
  </si>
  <si>
    <t>Review</t>
  </si>
  <si>
    <t>Active</t>
  </si>
  <si>
    <t>Spare Part</t>
  </si>
  <si>
    <t>Precision Parts Ltd</t>
  </si>
  <si>
    <t>MTO</t>
  </si>
  <si>
    <t>Optics Supply Inc</t>
  </si>
  <si>
    <t>Service Part</t>
  </si>
  <si>
    <t>Service Components LLC</t>
  </si>
  <si>
    <t>Accessory</t>
  </si>
  <si>
    <t>Tooling Depot</t>
  </si>
  <si>
    <t>Consumable</t>
  </si>
  <si>
    <t>FilterTech</t>
  </si>
  <si>
    <t>Component</t>
  </si>
  <si>
    <t>Motion Systems</t>
  </si>
  <si>
    <t>CircuitWorks</t>
  </si>
  <si>
    <t>CablePro</t>
  </si>
  <si>
    <t>Sensorix</t>
  </si>
  <si>
    <t>DisplaySource</t>
  </si>
  <si>
    <t>Packaging</t>
  </si>
  <si>
    <t>Pack Right Inc.</t>
  </si>
  <si>
    <t>PackRight</t>
  </si>
  <si>
    <t>PowerCells</t>
  </si>
  <si>
    <t>CircuitWrks</t>
  </si>
  <si>
    <t>Supplier</t>
  </si>
  <si>
    <t>Total_Demand_12M</t>
  </si>
  <si>
    <t>Avg_Monthly_12M</t>
  </si>
  <si>
    <t>Avg_Monthly_6M</t>
  </si>
  <si>
    <t>Avg_Monthly_3M</t>
  </si>
  <si>
    <t>Demand_StdDev_12M</t>
  </si>
  <si>
    <t>CV</t>
  </si>
  <si>
    <t>3M_vs_12M_Trend</t>
  </si>
  <si>
    <t>Zero_Demand_Months_12M</t>
  </si>
  <si>
    <t>Demand_Behavior</t>
  </si>
  <si>
    <t>Forecast_Method</t>
  </si>
  <si>
    <t>Forecast_Monthly_Demand</t>
  </si>
  <si>
    <t>Annual_Demand_Value</t>
  </si>
  <si>
    <t>Rank</t>
  </si>
  <si>
    <t>Annual_Value_%</t>
  </si>
  <si>
    <t>Cumulative_%</t>
  </si>
  <si>
    <t>Stable</t>
  </si>
  <si>
    <t>6M Moving Avg</t>
  </si>
  <si>
    <t>Growing</t>
  </si>
  <si>
    <t>3M Moving Avg</t>
  </si>
  <si>
    <t>Intermittent</t>
  </si>
  <si>
    <t>Median 6M</t>
  </si>
  <si>
    <t>Variable</t>
  </si>
  <si>
    <t>Declining</t>
  </si>
  <si>
    <t>Lumpy</t>
  </si>
  <si>
    <t>Avg_Daily_Demand</t>
  </si>
  <si>
    <t>Safety_Stock</t>
  </si>
  <si>
    <t>Lead_Time_Demand</t>
  </si>
  <si>
    <t>Reorder_Point</t>
  </si>
  <si>
    <t>Months_of_Supply</t>
  </si>
  <si>
    <t>Reorder_Qty</t>
  </si>
  <si>
    <t>Reorder_Value</t>
  </si>
  <si>
    <t>Recommendation</t>
  </si>
  <si>
    <t>Total_Demand</t>
  </si>
  <si>
    <t>MoM_Change_Units</t>
  </si>
  <si>
    <t>MoM_Change_%</t>
  </si>
  <si>
    <t>Risk_Type</t>
  </si>
  <si>
    <t>Why_Flagged</t>
  </si>
  <si>
    <t>Recommended_Action</t>
  </si>
  <si>
    <t>Available inventory (63) is at/below reorder point (184.9).</t>
  </si>
  <si>
    <t>Review replenishment immediately; inventory is below or near reorder point.</t>
  </si>
  <si>
    <t>Available inventory (96) is at/below reorder point (176.7).</t>
  </si>
  <si>
    <t>Available inventory (12) is at/below reorder point (28.0).</t>
  </si>
  <si>
    <t>Available inventory (38) is at/below reorder point (40.5).</t>
  </si>
  <si>
    <t>Available inventory (107) is at/below reorder point (128.6).</t>
  </si>
  <si>
    <t>Available inventory (77) is at/below reorder point (87.7).</t>
  </si>
  <si>
    <t>Available inventory (106) is at/below reorder point (129.8).</t>
  </si>
  <si>
    <t>Available inventory (18) is at/below reorder point (30.5).</t>
  </si>
  <si>
    <t>Available inventory (41) is at/below reorder point (84.4).</t>
  </si>
  <si>
    <t>Available inventory (46) is at/below reorder point (59.2).</t>
  </si>
  <si>
    <t>Available inventory (29) is at/below reorder point (41.3).</t>
  </si>
  <si>
    <t>Months of supply (7.1) is above 6 months.</t>
  </si>
  <si>
    <t>Review demand plan and future purchases; potential excess inventory.</t>
  </si>
  <si>
    <t>Available inventory (20) is at/below reorder point (59.1).</t>
  </si>
  <si>
    <t>Available inventory (20) is at/below reorder point (36.1).</t>
  </si>
  <si>
    <t>Available inventory (6) is at/below reorder point (10.4).</t>
  </si>
  <si>
    <t>Available inventory (39) is at/below reorder point (56.8).</t>
  </si>
  <si>
    <t>Data Quality</t>
  </si>
  <si>
    <t>Raw demand data contained lowercase/trailing-space SKU variation.</t>
  </si>
  <si>
    <t>Clean SKU identifiers before final planning run.</t>
  </si>
  <si>
    <t>Past Due PO</t>
  </si>
  <si>
    <t>Open PO expected receipt date is before planning snapshot date.</t>
  </si>
  <si>
    <t>Confirm PO status with buyer/planner.</t>
  </si>
  <si>
    <t>Action_Priority</t>
  </si>
  <si>
    <t>Category</t>
  </si>
  <si>
    <t>ABC</t>
  </si>
  <si>
    <t>Forecast_Monthly</t>
  </si>
  <si>
    <t>Suggested_Reorder_Qty</t>
  </si>
  <si>
    <t>Suggested_Reorder_Value</t>
  </si>
  <si>
    <t>Planner_Notes</t>
  </si>
  <si>
    <t>1 - Immediate Review</t>
  </si>
  <si>
    <t>3 - Excess Review</t>
  </si>
  <si>
    <t>4 - No Action</t>
  </si>
  <si>
    <t>No immediate action required.</t>
  </si>
  <si>
    <t>Summary of Findings and Recommendations</t>
  </si>
  <si>
    <t>1. Demand Pattern</t>
  </si>
  <si>
    <t>The model reviewed 24 SKUs across 18 months of historical demand. SKU behavior was classified into stable, growing, declining, intermittent, variable, and lumpy demand patterns.</t>
  </si>
  <si>
    <t>2. Forecasting Approach</t>
  </si>
  <si>
    <t>The workbook uses moving-average and median-based logic based on demand behavior. Stable/variable SKUs use a 6-month moving average, growing SKUs use a 3-month moving average, and lumpy/intermittent SKUs use median-based logic.</t>
  </si>
  <si>
    <t>3. Reorder Logic</t>
  </si>
  <si>
    <t>Safety stock is calculated using service level, demand variability, and lead time. Reorder point equals lead-time demand plus safety stock.</t>
  </si>
  <si>
    <t>4. Inventory Risk</t>
  </si>
  <si>
    <t>15 SKUs are flagged for stockout review and 1 SKU is flagged for excess stock review based on current available quantity and months of supply.</t>
  </si>
  <si>
    <t>5. Reorder Recommendation</t>
  </si>
  <si>
    <t>Suggested reorder value is approximately $43,684 based on current inventory position, reorder point, MOQ, and forecast demand.</t>
  </si>
  <si>
    <t>6. Further Review</t>
  </si>
  <si>
    <t>Validate service level, lead times, supplier constraints, MOQ assumptions, open purchase order status, and whether MTO items should be excluded from automated reorder suggestions.</t>
  </si>
  <si>
    <t>Potential Savings / Improvement Areas</t>
  </si>
  <si>
    <t>Reduce excess inventory on declining SKUs, monitor past-due POs, prioritize A-class SKUs for planner review, and clean SKU/supplier master data before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</si>
</sst>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$#,##0.00"/>
    <numFmt numFmtId="166" formatCode="0.0"/>
    <numFmt numFmtId="167" formatCode="0.0%"/>
    <numFmt numFmtId="168" formatCode="\$#,##0"/>
    <numFmt numFmtId="169" formatCode="mmm\ yyyy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0" fontId="4" fillId="5" borderId="0" xfId="0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168" fontId="4" fillId="5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10">
    <dxf>
      <fill>
        <patternFill patternType="solid">
          <bgColor rgb="FFBBF7D0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Monthly Demand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Demand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Dashboard!$B$14:$B$31</c:f>
              <c:numCache>
                <c:formatCode>mmm\ yyyy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Dashboard!$C$14:$C$31</c:f>
              <c:numCache>
                <c:formatCode>General</c:formatCode>
                <c:ptCount val="18"/>
                <c:pt idx="0">
                  <c:v>2150</c:v>
                </c:pt>
                <c:pt idx="1">
                  <c:v>2201</c:v>
                </c:pt>
                <c:pt idx="2">
                  <c:v>2337</c:v>
                </c:pt>
                <c:pt idx="3">
                  <c:v>2796</c:v>
                </c:pt>
                <c:pt idx="4">
                  <c:v>2531</c:v>
                </c:pt>
                <c:pt idx="5">
                  <c:v>2303</c:v>
                </c:pt>
                <c:pt idx="6">
                  <c:v>2154</c:v>
                </c:pt>
                <c:pt idx="7">
                  <c:v>2511</c:v>
                </c:pt>
                <c:pt idx="8">
                  <c:v>2303</c:v>
                </c:pt>
                <c:pt idx="9">
                  <c:v>2468</c:v>
                </c:pt>
                <c:pt idx="10">
                  <c:v>2618</c:v>
                </c:pt>
                <c:pt idx="11">
                  <c:v>2701</c:v>
                </c:pt>
                <c:pt idx="12">
                  <c:v>2410</c:v>
                </c:pt>
                <c:pt idx="13">
                  <c:v>2160</c:v>
                </c:pt>
                <c:pt idx="14">
                  <c:v>2360</c:v>
                </c:pt>
                <c:pt idx="15">
                  <c:v>2474</c:v>
                </c:pt>
                <c:pt idx="16">
                  <c:v>2427</c:v>
                </c:pt>
                <c:pt idx="17">
                  <c:v>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1-294B-B683-99B7F60D4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SKU Count</c:v>
          </c:tx>
          <c:spPr>
            <a:ln>
              <a:prstDash val="solid"/>
            </a:ln>
          </c:spPr>
          <c:invertIfNegative val="1"/>
          <c:cat>
            <c:strRef>
              <c:f>Dashboard!$I$5:$I$8</c:f>
              <c:strCache>
                <c:ptCount val="3"/>
                <c:pt idx="0">
                  <c:v>Balanced</c:v>
                </c:pt>
                <c:pt idx="1">
                  <c:v>Excess Stock</c:v>
                </c:pt>
                <c:pt idx="2">
                  <c:v>Stockout Risk</c:v>
                </c:pt>
              </c:strCache>
            </c:strRef>
          </c:cat>
          <c:val>
            <c:numRef>
              <c:f>Dashboard!$J$5:$J$8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E-B44D-9956-BA706DA64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Forecast Demand</c:v>
          </c:tx>
          <c:spPr>
            <a:ln>
              <a:prstDash val="solid"/>
            </a:ln>
          </c:spPr>
          <c:invertIfNegative val="1"/>
          <c:cat>
            <c:strRef>
              <c:f>Dashboard!$E$5:$E$14</c:f>
              <c:strCache>
                <c:ptCount val="10"/>
                <c:pt idx="0">
                  <c:v>SKU-1019</c:v>
                </c:pt>
                <c:pt idx="1">
                  <c:v>SKU-1018</c:v>
                </c:pt>
                <c:pt idx="2">
                  <c:v>SKU-1009</c:v>
                </c:pt>
                <c:pt idx="3">
                  <c:v>SKU-1024</c:v>
                </c:pt>
                <c:pt idx="4">
                  <c:v>SKU-1001</c:v>
                </c:pt>
                <c:pt idx="5">
                  <c:v>SKU-1002</c:v>
                </c:pt>
                <c:pt idx="6">
                  <c:v>SKU-1003</c:v>
                </c:pt>
                <c:pt idx="7">
                  <c:v>SKU-1007</c:v>
                </c:pt>
                <c:pt idx="8">
                  <c:v>SKU-1014</c:v>
                </c:pt>
                <c:pt idx="9">
                  <c:v>SKU-1015</c:v>
                </c:pt>
              </c:strCache>
            </c:strRef>
          </c:cat>
          <c:val>
            <c:numRef>
              <c:f>Dashboard!$F$5:$F$14</c:f>
              <c:numCache>
                <c:formatCode>General</c:formatCode>
                <c:ptCount val="10"/>
                <c:pt idx="0">
                  <c:v>645.5</c:v>
                </c:pt>
                <c:pt idx="1">
                  <c:v>478.66666666666669</c:v>
                </c:pt>
                <c:pt idx="2">
                  <c:v>252.66666666666671</c:v>
                </c:pt>
                <c:pt idx="3">
                  <c:v>180</c:v>
                </c:pt>
                <c:pt idx="4">
                  <c:v>143.5</c:v>
                </c:pt>
                <c:pt idx="5">
                  <c:v>106</c:v>
                </c:pt>
                <c:pt idx="6">
                  <c:v>105.3333333333333</c:v>
                </c:pt>
                <c:pt idx="7">
                  <c:v>99</c:v>
                </c:pt>
                <c:pt idx="8">
                  <c:v>53.833333333333343</c:v>
                </c:pt>
                <c:pt idx="9">
                  <c:v>48.166666666666657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0-1F43-97C0-2B68C062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616859</xdr:colOff>
      <xdr:row>32</xdr:row>
      <xdr:rowOff>163286</xdr:rowOff>
    </xdr:from>
    <xdr:to>
      <xdr:col>6</xdr:col>
      <xdr:colOff>0</xdr:colOff>
      <xdr:row>52</xdr:row>
      <xdr:rowOff>72571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0</xdr:colOff>
      <xdr:row>16</xdr:row>
      <xdr:rowOff>0</xdr:rowOff>
    </xdr:from>
    <xdr:ext cx="5715000" cy="28575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emandData" displayName="RawDemandData" ref="A1:H433">
  <tableColumns count="8">
    <tableColumn id="1" xr3:uid="{00000000-0010-0000-0000-000001000000}" name="Demand_Record_ID"/>
    <tableColumn id="2" xr3:uid="{00000000-0010-0000-0000-000002000000}" name="SKU"/>
    <tableColumn id="3" xr3:uid="{00000000-0010-0000-0000-000003000000}" name="Item_Description"/>
    <tableColumn id="4" xr3:uid="{00000000-0010-0000-0000-000004000000}" name="Demand_Month"/>
    <tableColumn id="5" xr3:uid="{00000000-0010-0000-0000-000005000000}" name="Demand_Qty"/>
    <tableColumn id="6" xr3:uid="{00000000-0010-0000-0000-000006000000}" name="Customer_Order_Qty"/>
    <tableColumn id="7" xr3:uid="{00000000-0010-0000-0000-000007000000}" name="Demand_Source"/>
    <tableColumn id="8" xr3:uid="{00000000-0010-0000-0000-000008000000}" name="UO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emand" displayName="CleanedDemand" ref="A1:L433">
  <tableColumns count="12">
    <tableColumn id="1" xr3:uid="{00000000-0010-0000-0100-000001000000}" name="Demand_Record_ID"/>
    <tableColumn id="2" xr3:uid="{00000000-0010-0000-0100-000002000000}" name="SKU_Raw"/>
    <tableColumn id="3" xr3:uid="{00000000-0010-0000-0100-000003000000}" name="SKU_Clean"/>
    <tableColumn id="4" xr3:uid="{00000000-0010-0000-0100-000004000000}" name="Item_Description"/>
    <tableColumn id="5" xr3:uid="{00000000-0010-0000-0100-000005000000}" name="Demand_Month"/>
    <tableColumn id="6" xr3:uid="{00000000-0010-0000-0100-000006000000}" name="Demand_Qty"/>
    <tableColumn id="7" xr3:uid="{00000000-0010-0000-0100-000007000000}" name="Customer_Order_Qty"/>
    <tableColumn id="8" xr3:uid="{00000000-0010-0000-0100-000008000000}" name="Demand_Source"/>
    <tableColumn id="9" xr3:uid="{00000000-0010-0000-0100-000009000000}" name="UOM"/>
    <tableColumn id="10" xr3:uid="{00000000-0010-0000-0100-00000A000000}" name="Year"/>
    <tableColumn id="11" xr3:uid="{00000000-0010-0000-0100-00000B000000}" name="Month_Number"/>
    <tableColumn id="12" xr3:uid="{00000000-0010-0000-0100-00000C000000}" name="Month_Sta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KUMaster" displayName="SKUMaster" ref="A1:O25">
  <tableColumns count="15">
    <tableColumn id="1" xr3:uid="{00000000-0010-0000-0200-000001000000}" name="SKU"/>
    <tableColumn id="2" xr3:uid="{00000000-0010-0000-0200-000002000000}" name="Item_Description"/>
    <tableColumn id="3" xr3:uid="{00000000-0010-0000-0200-000003000000}" name="Item_Category"/>
    <tableColumn id="4" xr3:uid="{00000000-0010-0000-0200-000004000000}" name="Planning_Type"/>
    <tableColumn id="5" xr3:uid="{00000000-0010-0000-0200-000005000000}" name="Supplier_Raw"/>
    <tableColumn id="6" xr3:uid="{00000000-0010-0000-0200-000006000000}" name="Supplier_Standardized"/>
    <tableColumn id="7" xr3:uid="{00000000-0010-0000-0200-000007000000}" name="On_Hand_Qty"/>
    <tableColumn id="8" xr3:uid="{00000000-0010-0000-0200-000008000000}" name="On_Order_Qty"/>
    <tableColumn id="9" xr3:uid="{00000000-0010-0000-0200-000009000000}" name="Allocated_Qty"/>
    <tableColumn id="10" xr3:uid="{00000000-0010-0000-0200-00000A000000}" name="Available_Qty"/>
    <tableColumn id="11" xr3:uid="{00000000-0010-0000-0200-00000B000000}" name="Unit_Cost"/>
    <tableColumn id="12" xr3:uid="{00000000-0010-0000-0200-00000C000000}" name="Lead_Time_Days"/>
    <tableColumn id="13" xr3:uid="{00000000-0010-0000-0200-00000D000000}" name="MOQ"/>
    <tableColumn id="14" xr3:uid="{00000000-0010-0000-0200-00000E000000}" name="ERP_Safety_Min"/>
    <tableColumn id="15" xr3:uid="{00000000-0010-0000-0200-00000F000000}" name="Item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ecastModel" displayName="ForecastModel" ref="B2:W26">
  <tableColumns count="22">
    <tableColumn id="1" xr3:uid="{00000000-0010-0000-0300-000001000000}" name="SKU"/>
    <tableColumn id="2" xr3:uid="{00000000-0010-0000-0300-000002000000}" name="Item_Description"/>
    <tableColumn id="3" xr3:uid="{00000000-0010-0000-0300-000003000000}" name="Item_Category"/>
    <tableColumn id="4" xr3:uid="{00000000-0010-0000-0300-000004000000}" name="Planning_Type"/>
    <tableColumn id="5" xr3:uid="{00000000-0010-0000-0300-000005000000}" name="Supplier"/>
    <tableColumn id="6" xr3:uid="{00000000-0010-0000-0300-000006000000}" name="Total_Demand_12M"/>
    <tableColumn id="7" xr3:uid="{00000000-0010-0000-0300-000007000000}" name="Avg_Monthly_12M"/>
    <tableColumn id="8" xr3:uid="{00000000-0010-0000-0300-000008000000}" name="Avg_Monthly_6M"/>
    <tableColumn id="9" xr3:uid="{00000000-0010-0000-0300-000009000000}" name="Avg_Monthly_3M"/>
    <tableColumn id="10" xr3:uid="{00000000-0010-0000-0300-00000A000000}" name="Demand_StdDev_12M"/>
    <tableColumn id="11" xr3:uid="{00000000-0010-0000-0300-00000B000000}" name="CV"/>
    <tableColumn id="12" xr3:uid="{00000000-0010-0000-0300-00000C000000}" name="3M_vs_12M_Trend"/>
    <tableColumn id="13" xr3:uid="{00000000-0010-0000-0300-00000D000000}" name="Zero_Demand_Months_12M"/>
    <tableColumn id="14" xr3:uid="{00000000-0010-0000-0300-00000E000000}" name="Demand_Behavior"/>
    <tableColumn id="15" xr3:uid="{00000000-0010-0000-0300-00000F000000}" name="Forecast_Method"/>
    <tableColumn id="16" xr3:uid="{00000000-0010-0000-0300-000010000000}" name="Forecast_Monthly_Demand"/>
    <tableColumn id="17" xr3:uid="{00000000-0010-0000-0300-000011000000}" name="Unit_Cost"/>
    <tableColumn id="18" xr3:uid="{00000000-0010-0000-0300-000012000000}" name="Annual_Demand_Value"/>
    <tableColumn id="19" xr3:uid="{00000000-0010-0000-0300-000013000000}" name="Rank"/>
    <tableColumn id="20" xr3:uid="{00000000-0010-0000-0300-000014000000}" name="Annual_Value_%"/>
    <tableColumn id="21" xr3:uid="{00000000-0010-0000-0300-000015000000}" name="Cumulative_%"/>
    <tableColumn id="22" xr3:uid="{00000000-0010-0000-0300-000016000000}" name="ABC_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orderPlanning" displayName="ReorderPlanning" ref="A1:Y25">
  <tableColumns count="25">
    <tableColumn id="1" xr3:uid="{00000000-0010-0000-0400-000001000000}" name="SKU"/>
    <tableColumn id="2" xr3:uid="{00000000-0010-0000-0400-000002000000}" name="Item_Description"/>
    <tableColumn id="3" xr3:uid="{00000000-0010-0000-0400-000003000000}" name="Item_Category"/>
    <tableColumn id="4" xr3:uid="{00000000-0010-0000-0400-000004000000}" name="Planning_Type"/>
    <tableColumn id="5" xr3:uid="{00000000-0010-0000-0400-000005000000}" name="Supplier"/>
    <tableColumn id="6" xr3:uid="{00000000-0010-0000-0400-000006000000}" name="ABC_Class"/>
    <tableColumn id="7" xr3:uid="{00000000-0010-0000-0400-000007000000}" name="Demand_Behavior"/>
    <tableColumn id="8" xr3:uid="{00000000-0010-0000-0400-000008000000}" name="Forecast_Monthly_Demand"/>
    <tableColumn id="9" xr3:uid="{00000000-0010-0000-0400-000009000000}" name="Demand_StdDev_12M"/>
    <tableColumn id="10" xr3:uid="{00000000-0010-0000-0400-00000A000000}" name="On_Hand_Qty"/>
    <tableColumn id="11" xr3:uid="{00000000-0010-0000-0400-00000B000000}" name="On_Order_Qty"/>
    <tableColumn id="12" xr3:uid="{00000000-0010-0000-0400-00000C000000}" name="Allocated_Qty"/>
    <tableColumn id="13" xr3:uid="{00000000-0010-0000-0400-00000D000000}" name="Available_Qty"/>
    <tableColumn id="14" xr3:uid="{00000000-0010-0000-0400-00000E000000}" name="Lead_Time_Days"/>
    <tableColumn id="15" xr3:uid="{00000000-0010-0000-0400-00000F000000}" name="MOQ"/>
    <tableColumn id="16" xr3:uid="{00000000-0010-0000-0400-000010000000}" name="Unit_Cost"/>
    <tableColumn id="17" xr3:uid="{00000000-0010-0000-0400-000011000000}" name="Avg_Daily_Demand"/>
    <tableColumn id="18" xr3:uid="{00000000-0010-0000-0400-000012000000}" name="Safety_Stock"/>
    <tableColumn id="19" xr3:uid="{00000000-0010-0000-0400-000013000000}" name="Lead_Time_Demand"/>
    <tableColumn id="20" xr3:uid="{00000000-0010-0000-0400-000014000000}" name="Reorder_Point"/>
    <tableColumn id="21" xr3:uid="{00000000-0010-0000-0400-000015000000}" name="Months_of_Supply"/>
    <tableColumn id="22" xr3:uid="{00000000-0010-0000-0400-000016000000}" name="Reorder_Qty"/>
    <tableColumn id="23" xr3:uid="{00000000-0010-0000-0400-000017000000}" name="Reorder_Value"/>
    <tableColumn id="24" xr3:uid="{00000000-0010-0000-0400-000018000000}" name="Risk_Status"/>
    <tableColumn id="25" xr3:uid="{00000000-0010-0000-0400-000019000000}" name="Recommen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endSummary" displayName="TrendSummary" ref="A1:D19">
  <tableColumns count="4">
    <tableColumn id="1" xr3:uid="{00000000-0010-0000-0500-000001000000}" name="Month_Start"/>
    <tableColumn id="2" xr3:uid="{00000000-0010-0000-0500-000002000000}" name="Total_Demand"/>
    <tableColumn id="3" xr3:uid="{00000000-0010-0000-0500-000003000000}" name="MoM_Change_Units"/>
    <tableColumn id="4" xr3:uid="{00000000-0010-0000-0500-000004000000}" name="MoM_Change_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egoryTrend" displayName="CategoryTrend" ref="G1:N19">
  <tableColumns count="8">
    <tableColumn id="1" xr3:uid="{00000000-0010-0000-0600-000001000000}" name="Month_Start"/>
    <tableColumn id="2" xr3:uid="{00000000-0010-0000-0600-000002000000}" name="Accessory"/>
    <tableColumn id="3" xr3:uid="{00000000-0010-0000-0600-000003000000}" name="Component"/>
    <tableColumn id="4" xr3:uid="{00000000-0010-0000-0600-000004000000}" name="Consumable"/>
    <tableColumn id="5" xr3:uid="{00000000-0010-0000-0600-000005000000}" name="Finished Goods"/>
    <tableColumn id="6" xr3:uid="{00000000-0010-0000-0600-000006000000}" name="Packaging"/>
    <tableColumn id="7" xr3:uid="{00000000-0010-0000-0600-000007000000}" name="Service Part"/>
    <tableColumn id="8" xr3:uid="{00000000-0010-0000-0600-000008000000}" name="Spare Pa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ventoryRiskReview" displayName="InventoryRiskReview" ref="B2:M20">
  <tableColumns count="12">
    <tableColumn id="1" xr3:uid="{00000000-0010-0000-0700-000001000000}" name="SKU"/>
    <tableColumn id="2" xr3:uid="{00000000-0010-0000-0700-000002000000}" name="Item_Description"/>
    <tableColumn id="3" xr3:uid="{00000000-0010-0000-0700-000003000000}" name="Item_Category"/>
    <tableColumn id="4" xr3:uid="{00000000-0010-0000-0700-000004000000}" name="ABC_Class"/>
    <tableColumn id="5" xr3:uid="{00000000-0010-0000-0700-000005000000}" name="Demand_Behavior"/>
    <tableColumn id="6" xr3:uid="{00000000-0010-0000-0700-000006000000}" name="Available_Qty"/>
    <tableColumn id="7" xr3:uid="{00000000-0010-0000-0700-000007000000}" name="Forecast_Monthly_Demand"/>
    <tableColumn id="8" xr3:uid="{00000000-0010-0000-0700-000008000000}" name="Reorder_Point"/>
    <tableColumn id="9" xr3:uid="{00000000-0010-0000-0700-000009000000}" name="Months_of_Supply"/>
    <tableColumn id="10" xr3:uid="{00000000-0010-0000-0700-00000A000000}" name="Risk_Type"/>
    <tableColumn id="11" xr3:uid="{00000000-0010-0000-0700-00000B000000}" name="Why_Flagged"/>
    <tableColumn id="12" xr3:uid="{00000000-0010-0000-0700-00000C000000}" name="Recommended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lanningView" displayName="PlanningView" ref="A1:O25">
  <tableColumns count="15">
    <tableColumn id="1" xr3:uid="{00000000-0010-0000-0800-000001000000}" name="Action_Priority"/>
    <tableColumn id="2" xr3:uid="{00000000-0010-0000-0800-000002000000}" name="SKU"/>
    <tableColumn id="3" xr3:uid="{00000000-0010-0000-0800-000003000000}" name="Item_Description"/>
    <tableColumn id="4" xr3:uid="{00000000-0010-0000-0800-000004000000}" name="Category"/>
    <tableColumn id="5" xr3:uid="{00000000-0010-0000-0800-000005000000}" name="Planning_Type"/>
    <tableColumn id="6" xr3:uid="{00000000-0010-0000-0800-000006000000}" name="ABC"/>
    <tableColumn id="7" xr3:uid="{00000000-0010-0000-0800-000007000000}" name="Demand_Behavior"/>
    <tableColumn id="8" xr3:uid="{00000000-0010-0000-0800-000008000000}" name="Forecast_Monthly"/>
    <tableColumn id="9" xr3:uid="{00000000-0010-0000-0800-000009000000}" name="Available_Qty"/>
    <tableColumn id="10" xr3:uid="{00000000-0010-0000-0800-00000A000000}" name="Reorder_Point"/>
    <tableColumn id="11" xr3:uid="{00000000-0010-0000-0800-00000B000000}" name="Months_of_Supply"/>
    <tableColumn id="12" xr3:uid="{00000000-0010-0000-0800-00000C000000}" name="Suggested_Reorder_Qty"/>
    <tableColumn id="13" xr3:uid="{00000000-0010-0000-0800-00000D000000}" name="Suggested_Reorder_Value"/>
    <tableColumn id="14" xr3:uid="{00000000-0010-0000-0800-00000E000000}" name="Risk_Status"/>
    <tableColumn id="15" xr3:uid="{00000000-0010-0000-0800-00000F000000}" name="Planner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baseColWidth="10" defaultColWidth="8.83203125" defaultRowHeight="15"/>
  <cols>
    <col min="1" max="1" width="34" customWidth="1"/>
    <col min="2" max="2" width="80" customWidth="1"/>
  </cols>
  <sheetData>
    <row r="1" spans="1:2" ht="18" customHeight="1">
      <c r="A1" s="14" t="s">
        <v>15</v>
      </c>
      <c r="B1" s="15"/>
    </row>
    <row r="2" spans="1:2" ht="15" customHeight="1">
      <c r="A2" s="1" t="s">
        <v>16</v>
      </c>
      <c r="B2" t="s">
        <v>17</v>
      </c>
    </row>
    <row r="3" spans="1:2" ht="15" customHeight="1">
      <c r="A3" s="1" t="s">
        <v>18</v>
      </c>
      <c r="B3" t="s">
        <v>19</v>
      </c>
    </row>
    <row r="4" spans="1:2" ht="15" customHeight="1">
      <c r="A4" s="1" t="s">
        <v>20</v>
      </c>
      <c r="B4" t="s">
        <v>21</v>
      </c>
    </row>
    <row r="5" spans="1:2" ht="15" customHeight="1">
      <c r="A5" s="1" t="s">
        <v>22</v>
      </c>
      <c r="B5" t="s">
        <v>23</v>
      </c>
    </row>
    <row r="6" spans="1:2" ht="15" customHeight="1">
      <c r="A6" s="1" t="s">
        <v>24</v>
      </c>
      <c r="B6" t="s">
        <v>25</v>
      </c>
    </row>
    <row r="7" spans="1:2" ht="15" customHeight="1">
      <c r="A7" s="1" t="s">
        <v>26</v>
      </c>
      <c r="B7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1"/>
  <sheetViews>
    <sheetView showGridLines="0" zoomScale="60" zoomScaleNormal="60" workbookViewId="0">
      <selection activeCell="Z38" sqref="Z38"/>
    </sheetView>
  </sheetViews>
  <sheetFormatPr baseColWidth="10" defaultColWidth="8.83203125" defaultRowHeight="15"/>
  <cols>
    <col min="2" max="2" width="36.5" customWidth="1"/>
    <col min="3" max="3" width="24" customWidth="1"/>
    <col min="5" max="6" width="18" customWidth="1"/>
    <col min="9" max="9" width="24.83203125" customWidth="1"/>
    <col min="10" max="10" width="17.33203125" customWidth="1"/>
  </cols>
  <sheetData>
    <row r="2" spans="2:12" ht="18" customHeight="1">
      <c r="B2" s="14" t="s">
        <v>28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2:12" ht="32" customHeight="1">
      <c r="B4" s="1" t="s">
        <v>29</v>
      </c>
      <c r="C4" s="10">
        <v>24</v>
      </c>
      <c r="E4" s="2" t="s">
        <v>30</v>
      </c>
      <c r="F4" s="2" t="s">
        <v>31</v>
      </c>
      <c r="I4" s="2" t="s">
        <v>32</v>
      </c>
      <c r="J4" s="2" t="s">
        <v>33</v>
      </c>
    </row>
    <row r="5" spans="2:12" ht="15" customHeight="1">
      <c r="B5" s="1" t="s">
        <v>31</v>
      </c>
      <c r="C5" s="11">
        <v>2365.333333333333</v>
      </c>
      <c r="E5" t="s">
        <v>34</v>
      </c>
      <c r="F5">
        <v>645.5</v>
      </c>
      <c r="I5" t="s">
        <v>35</v>
      </c>
      <c r="J5">
        <v>8</v>
      </c>
    </row>
    <row r="6" spans="2:12" ht="15" customHeight="1">
      <c r="B6" s="1" t="s">
        <v>36</v>
      </c>
      <c r="C6" s="10">
        <v>15</v>
      </c>
      <c r="E6" t="s">
        <v>37</v>
      </c>
      <c r="F6">
        <v>478.66666666666669</v>
      </c>
      <c r="I6" t="s">
        <v>38</v>
      </c>
      <c r="J6">
        <v>1</v>
      </c>
    </row>
    <row r="7" spans="2:12" ht="15" customHeight="1">
      <c r="B7" s="1" t="s">
        <v>39</v>
      </c>
      <c r="C7" s="10">
        <v>1</v>
      </c>
      <c r="E7" t="s">
        <v>40</v>
      </c>
      <c r="F7">
        <v>252.66666666666671</v>
      </c>
      <c r="I7" t="s">
        <v>41</v>
      </c>
      <c r="J7">
        <v>15</v>
      </c>
    </row>
    <row r="8" spans="2:12" ht="15" customHeight="1">
      <c r="B8" s="1" t="s">
        <v>42</v>
      </c>
      <c r="C8" s="12">
        <v>43684.5</v>
      </c>
      <c r="E8" t="s">
        <v>43</v>
      </c>
      <c r="F8">
        <v>180</v>
      </c>
    </row>
    <row r="9" spans="2:12" ht="15" customHeight="1">
      <c r="B9" s="1" t="s">
        <v>44</v>
      </c>
      <c r="C9" s="12">
        <v>78354</v>
      </c>
      <c r="E9" t="s">
        <v>45</v>
      </c>
      <c r="F9">
        <v>143.5</v>
      </c>
    </row>
    <row r="10" spans="2:12" ht="15" customHeight="1">
      <c r="B10" s="1" t="s">
        <v>46</v>
      </c>
      <c r="C10" s="13">
        <v>0.36902659871344401</v>
      </c>
      <c r="E10" t="s">
        <v>47</v>
      </c>
      <c r="F10">
        <v>106</v>
      </c>
    </row>
    <row r="11" spans="2:12">
      <c r="E11" t="s">
        <v>48</v>
      </c>
      <c r="F11">
        <v>105.3333333333333</v>
      </c>
    </row>
    <row r="12" spans="2:12" ht="32" customHeight="1">
      <c r="E12" t="s">
        <v>49</v>
      </c>
      <c r="F12">
        <v>99</v>
      </c>
      <c r="I12" s="2" t="s">
        <v>50</v>
      </c>
      <c r="J12" s="2" t="s">
        <v>33</v>
      </c>
    </row>
    <row r="13" spans="2:12" ht="16" customHeight="1">
      <c r="B13" s="2" t="s">
        <v>51</v>
      </c>
      <c r="C13" s="2" t="s">
        <v>52</v>
      </c>
      <c r="E13" t="s">
        <v>53</v>
      </c>
      <c r="F13">
        <v>53.833333333333343</v>
      </c>
      <c r="I13" t="s">
        <v>54</v>
      </c>
      <c r="J13">
        <v>14</v>
      </c>
    </row>
    <row r="14" spans="2:12">
      <c r="B14" s="8">
        <v>45292</v>
      </c>
      <c r="C14">
        <v>2150</v>
      </c>
      <c r="E14" t="s">
        <v>55</v>
      </c>
      <c r="F14">
        <v>48.166666666666657</v>
      </c>
      <c r="I14" t="s">
        <v>56</v>
      </c>
      <c r="J14">
        <v>7</v>
      </c>
    </row>
    <row r="15" spans="2:12">
      <c r="B15" s="8">
        <v>45323</v>
      </c>
      <c r="C15">
        <v>2201</v>
      </c>
      <c r="I15" t="s">
        <v>57</v>
      </c>
      <c r="J15">
        <v>3</v>
      </c>
    </row>
    <row r="16" spans="2:12">
      <c r="B16" s="8">
        <v>45352</v>
      </c>
      <c r="C16">
        <v>2337</v>
      </c>
    </row>
    <row r="17" spans="2:3">
      <c r="B17" s="8">
        <v>45383</v>
      </c>
      <c r="C17">
        <v>2796</v>
      </c>
    </row>
    <row r="18" spans="2:3">
      <c r="B18" s="8">
        <v>45413</v>
      </c>
      <c r="C18">
        <v>2531</v>
      </c>
    </row>
    <row r="19" spans="2:3">
      <c r="B19" s="8">
        <v>45444</v>
      </c>
      <c r="C19">
        <v>2303</v>
      </c>
    </row>
    <row r="20" spans="2:3">
      <c r="B20" s="8">
        <v>45474</v>
      </c>
      <c r="C20">
        <v>2154</v>
      </c>
    </row>
    <row r="21" spans="2:3">
      <c r="B21" s="8">
        <v>45505</v>
      </c>
      <c r="C21">
        <v>2511</v>
      </c>
    </row>
    <row r="22" spans="2:3">
      <c r="B22" s="8">
        <v>45536</v>
      </c>
      <c r="C22">
        <v>2303</v>
      </c>
    </row>
    <row r="23" spans="2:3">
      <c r="B23" s="8">
        <v>45566</v>
      </c>
      <c r="C23">
        <v>2468</v>
      </c>
    </row>
    <row r="24" spans="2:3">
      <c r="B24" s="8">
        <v>45597</v>
      </c>
      <c r="C24">
        <v>2618</v>
      </c>
    </row>
    <row r="25" spans="2:3">
      <c r="B25" s="8">
        <v>45627</v>
      </c>
      <c r="C25">
        <v>2701</v>
      </c>
    </row>
    <row r="26" spans="2:3">
      <c r="B26" s="8">
        <v>45658</v>
      </c>
      <c r="C26">
        <v>2410</v>
      </c>
    </row>
    <row r="27" spans="2:3">
      <c r="B27" s="8">
        <v>45689</v>
      </c>
      <c r="C27">
        <v>2160</v>
      </c>
    </row>
    <row r="28" spans="2:3">
      <c r="B28" s="8">
        <v>45717</v>
      </c>
      <c r="C28">
        <v>2360</v>
      </c>
    </row>
    <row r="29" spans="2:3">
      <c r="B29" s="8">
        <v>45748</v>
      </c>
      <c r="C29">
        <v>2474</v>
      </c>
    </row>
    <row r="30" spans="2:3">
      <c r="B30" s="8">
        <v>45778</v>
      </c>
      <c r="C30">
        <v>2427</v>
      </c>
    </row>
    <row r="31" spans="2:3">
      <c r="B31" s="8">
        <v>45809</v>
      </c>
      <c r="C31">
        <v>2472</v>
      </c>
    </row>
    <row r="32" spans="2:3">
      <c r="B32" s="8"/>
    </row>
    <row r="33" spans="2:2">
      <c r="B33" s="8"/>
    </row>
    <row r="34" spans="2:2">
      <c r="B34" s="8"/>
    </row>
    <row r="35" spans="2:2">
      <c r="B35" s="8"/>
    </row>
    <row r="36" spans="2:2">
      <c r="B36" s="8"/>
    </row>
    <row r="37" spans="2:2">
      <c r="B37" s="8"/>
    </row>
    <row r="38" spans="2:2">
      <c r="B38" s="8"/>
    </row>
    <row r="39" spans="2:2">
      <c r="B39" s="8"/>
    </row>
    <row r="40" spans="2:2">
      <c r="B40" s="8"/>
    </row>
    <row r="41" spans="2:2">
      <c r="B41" s="8"/>
    </row>
  </sheetData>
  <mergeCells count="1">
    <mergeCell ref="B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workbookViewId="0"/>
  </sheetViews>
  <sheetFormatPr baseColWidth="10" defaultColWidth="8.83203125" defaultRowHeight="15"/>
  <cols>
    <col min="1" max="2" width="18" customWidth="1"/>
    <col min="3" max="3" width="28" customWidth="1"/>
    <col min="4" max="8" width="18" customWidth="1"/>
  </cols>
  <sheetData>
    <row r="1" spans="1:8" ht="32" customHeight="1">
      <c r="A1" s="2" t="s">
        <v>58</v>
      </c>
      <c r="B1" s="2" t="s">
        <v>30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t="s">
        <v>65</v>
      </c>
      <c r="B2" t="s">
        <v>45</v>
      </c>
      <c r="C2" t="s">
        <v>66</v>
      </c>
      <c r="D2" s="3">
        <v>45292</v>
      </c>
      <c r="E2">
        <v>92</v>
      </c>
      <c r="F2">
        <v>91</v>
      </c>
      <c r="G2" t="s">
        <v>67</v>
      </c>
      <c r="H2" t="s">
        <v>68</v>
      </c>
    </row>
    <row r="3" spans="1:8">
      <c r="A3" t="s">
        <v>69</v>
      </c>
      <c r="B3" t="s">
        <v>45</v>
      </c>
      <c r="C3" t="s">
        <v>66</v>
      </c>
      <c r="D3" s="3">
        <v>45323</v>
      </c>
      <c r="E3">
        <v>95</v>
      </c>
      <c r="F3">
        <v>93</v>
      </c>
      <c r="G3" t="s">
        <v>67</v>
      </c>
      <c r="H3" t="s">
        <v>68</v>
      </c>
    </row>
    <row r="4" spans="1:8">
      <c r="A4" t="s">
        <v>70</v>
      </c>
      <c r="B4" t="s">
        <v>45</v>
      </c>
      <c r="C4" t="s">
        <v>66</v>
      </c>
      <c r="D4" s="3">
        <v>45352</v>
      </c>
      <c r="E4">
        <v>100</v>
      </c>
      <c r="F4">
        <v>103</v>
      </c>
      <c r="G4" t="s">
        <v>71</v>
      </c>
      <c r="H4" t="s">
        <v>68</v>
      </c>
    </row>
    <row r="5" spans="1:8">
      <c r="A5" t="s">
        <v>72</v>
      </c>
      <c r="B5" t="s">
        <v>45</v>
      </c>
      <c r="C5" t="s">
        <v>66</v>
      </c>
      <c r="D5" s="3">
        <v>45383</v>
      </c>
      <c r="E5">
        <v>74</v>
      </c>
      <c r="F5">
        <v>78</v>
      </c>
      <c r="G5" t="s">
        <v>73</v>
      </c>
      <c r="H5" t="s">
        <v>68</v>
      </c>
    </row>
    <row r="6" spans="1:8">
      <c r="A6" t="s">
        <v>74</v>
      </c>
      <c r="B6" t="s">
        <v>45</v>
      </c>
      <c r="C6" t="s">
        <v>66</v>
      </c>
      <c r="D6" s="3">
        <v>45413</v>
      </c>
      <c r="E6">
        <v>119</v>
      </c>
      <c r="F6">
        <v>117</v>
      </c>
      <c r="G6" t="s">
        <v>71</v>
      </c>
      <c r="H6" t="s">
        <v>68</v>
      </c>
    </row>
    <row r="7" spans="1:8">
      <c r="A7" t="s">
        <v>75</v>
      </c>
      <c r="B7" t="s">
        <v>45</v>
      </c>
      <c r="C7" t="s">
        <v>66</v>
      </c>
      <c r="D7" s="3">
        <v>45444</v>
      </c>
      <c r="E7">
        <v>115</v>
      </c>
      <c r="F7">
        <v>118</v>
      </c>
      <c r="G7" t="s">
        <v>67</v>
      </c>
      <c r="H7" t="s">
        <v>68</v>
      </c>
    </row>
    <row r="8" spans="1:8">
      <c r="A8" t="s">
        <v>76</v>
      </c>
      <c r="B8" t="s">
        <v>45</v>
      </c>
      <c r="C8" t="s">
        <v>66</v>
      </c>
      <c r="D8" s="3">
        <v>45474</v>
      </c>
      <c r="E8">
        <v>110</v>
      </c>
      <c r="F8">
        <v>111</v>
      </c>
      <c r="G8" t="s">
        <v>67</v>
      </c>
      <c r="H8" t="s">
        <v>68</v>
      </c>
    </row>
    <row r="9" spans="1:8">
      <c r="A9" t="s">
        <v>77</v>
      </c>
      <c r="B9" t="s">
        <v>45</v>
      </c>
      <c r="C9" t="s">
        <v>66</v>
      </c>
      <c r="D9" s="3">
        <v>45505</v>
      </c>
      <c r="E9">
        <v>88</v>
      </c>
      <c r="F9">
        <v>90</v>
      </c>
      <c r="G9" t="s">
        <v>78</v>
      </c>
      <c r="H9" t="s">
        <v>68</v>
      </c>
    </row>
    <row r="10" spans="1:8">
      <c r="A10" t="s">
        <v>79</v>
      </c>
      <c r="B10" t="s">
        <v>45</v>
      </c>
      <c r="C10" t="s">
        <v>66</v>
      </c>
      <c r="D10" s="3">
        <v>45536</v>
      </c>
      <c r="E10">
        <v>125</v>
      </c>
      <c r="F10">
        <v>122</v>
      </c>
      <c r="G10" t="s">
        <v>73</v>
      </c>
      <c r="H10" t="s">
        <v>68</v>
      </c>
    </row>
    <row r="11" spans="1:8">
      <c r="A11" t="s">
        <v>80</v>
      </c>
      <c r="B11" t="s">
        <v>45</v>
      </c>
      <c r="C11" t="s">
        <v>66</v>
      </c>
      <c r="D11" s="3">
        <v>45566</v>
      </c>
      <c r="E11">
        <v>126</v>
      </c>
      <c r="F11">
        <v>126</v>
      </c>
      <c r="G11" t="s">
        <v>78</v>
      </c>
      <c r="H11" t="s">
        <v>68</v>
      </c>
    </row>
    <row r="12" spans="1:8">
      <c r="A12" t="s">
        <v>81</v>
      </c>
      <c r="B12" t="s">
        <v>45</v>
      </c>
      <c r="C12" t="s">
        <v>66</v>
      </c>
      <c r="D12" s="3">
        <v>45597</v>
      </c>
      <c r="E12">
        <v>162</v>
      </c>
      <c r="F12">
        <v>162</v>
      </c>
      <c r="G12" t="s">
        <v>71</v>
      </c>
      <c r="H12" t="s">
        <v>68</v>
      </c>
    </row>
    <row r="13" spans="1:8">
      <c r="A13" t="s">
        <v>82</v>
      </c>
      <c r="B13" t="s">
        <v>45</v>
      </c>
      <c r="C13" t="s">
        <v>66</v>
      </c>
      <c r="D13" s="3">
        <v>45627</v>
      </c>
      <c r="E13">
        <v>180</v>
      </c>
      <c r="F13">
        <v>176</v>
      </c>
      <c r="G13" t="s">
        <v>73</v>
      </c>
      <c r="H13" t="s">
        <v>68</v>
      </c>
    </row>
    <row r="14" spans="1:8">
      <c r="A14" t="s">
        <v>83</v>
      </c>
      <c r="B14" t="s">
        <v>45</v>
      </c>
      <c r="C14" t="s">
        <v>66</v>
      </c>
      <c r="D14" s="3">
        <v>45658</v>
      </c>
      <c r="E14">
        <v>173</v>
      </c>
      <c r="F14">
        <v>177</v>
      </c>
      <c r="G14" t="s">
        <v>78</v>
      </c>
      <c r="H14" t="s">
        <v>68</v>
      </c>
    </row>
    <row r="15" spans="1:8">
      <c r="A15" t="s">
        <v>84</v>
      </c>
      <c r="B15" t="s">
        <v>45</v>
      </c>
      <c r="C15" t="s">
        <v>66</v>
      </c>
      <c r="D15" s="3">
        <v>45689</v>
      </c>
      <c r="E15">
        <v>166</v>
      </c>
      <c r="F15">
        <v>161</v>
      </c>
      <c r="G15" t="s">
        <v>73</v>
      </c>
      <c r="H15" t="s">
        <v>68</v>
      </c>
    </row>
    <row r="16" spans="1:8">
      <c r="A16" t="s">
        <v>85</v>
      </c>
      <c r="B16" t="s">
        <v>45</v>
      </c>
      <c r="C16" t="s">
        <v>66</v>
      </c>
      <c r="D16" s="3">
        <v>45717</v>
      </c>
      <c r="E16">
        <v>89</v>
      </c>
      <c r="F16">
        <v>90</v>
      </c>
      <c r="G16" t="s">
        <v>71</v>
      </c>
      <c r="H16" t="s">
        <v>68</v>
      </c>
    </row>
    <row r="17" spans="1:8">
      <c r="A17" t="s">
        <v>86</v>
      </c>
      <c r="B17" t="s">
        <v>45</v>
      </c>
      <c r="C17" t="s">
        <v>66</v>
      </c>
      <c r="D17" s="3">
        <v>45748</v>
      </c>
      <c r="E17">
        <v>136</v>
      </c>
      <c r="F17">
        <v>139</v>
      </c>
      <c r="G17" t="s">
        <v>78</v>
      </c>
      <c r="H17" t="s">
        <v>68</v>
      </c>
    </row>
    <row r="18" spans="1:8">
      <c r="A18" t="s">
        <v>87</v>
      </c>
      <c r="B18" t="s">
        <v>45</v>
      </c>
      <c r="C18" t="s">
        <v>66</v>
      </c>
      <c r="D18" s="3">
        <v>45778</v>
      </c>
      <c r="E18">
        <v>167</v>
      </c>
      <c r="F18">
        <v>167</v>
      </c>
      <c r="G18" t="s">
        <v>67</v>
      </c>
      <c r="H18" t="s">
        <v>68</v>
      </c>
    </row>
    <row r="19" spans="1:8">
      <c r="A19" t="s">
        <v>88</v>
      </c>
      <c r="B19" t="s">
        <v>45</v>
      </c>
      <c r="C19" t="s">
        <v>66</v>
      </c>
      <c r="D19" s="3">
        <v>45809</v>
      </c>
      <c r="E19">
        <v>130</v>
      </c>
      <c r="F19">
        <v>126</v>
      </c>
      <c r="G19" t="s">
        <v>71</v>
      </c>
      <c r="H19" t="s">
        <v>68</v>
      </c>
    </row>
    <row r="20" spans="1:8">
      <c r="A20" t="s">
        <v>89</v>
      </c>
      <c r="B20" t="s">
        <v>47</v>
      </c>
      <c r="C20" t="s">
        <v>90</v>
      </c>
      <c r="D20" s="3">
        <v>45292</v>
      </c>
      <c r="E20">
        <v>52</v>
      </c>
      <c r="F20">
        <v>48</v>
      </c>
      <c r="G20" t="s">
        <v>67</v>
      </c>
      <c r="H20" t="s">
        <v>68</v>
      </c>
    </row>
    <row r="21" spans="1:8">
      <c r="A21" t="s">
        <v>91</v>
      </c>
      <c r="B21" t="s">
        <v>47</v>
      </c>
      <c r="C21" t="s">
        <v>90</v>
      </c>
      <c r="D21" s="3">
        <v>45323</v>
      </c>
      <c r="E21">
        <v>43</v>
      </c>
      <c r="F21">
        <v>39</v>
      </c>
      <c r="G21" t="s">
        <v>73</v>
      </c>
      <c r="H21" t="s">
        <v>68</v>
      </c>
    </row>
    <row r="22" spans="1:8">
      <c r="A22" t="s">
        <v>92</v>
      </c>
      <c r="B22" t="s">
        <v>47</v>
      </c>
      <c r="C22" t="s">
        <v>90</v>
      </c>
      <c r="D22" s="3">
        <v>45352</v>
      </c>
      <c r="E22">
        <v>108</v>
      </c>
      <c r="F22">
        <v>108</v>
      </c>
      <c r="G22" t="s">
        <v>67</v>
      </c>
      <c r="H22" t="s">
        <v>68</v>
      </c>
    </row>
    <row r="23" spans="1:8">
      <c r="A23" t="s">
        <v>93</v>
      </c>
      <c r="B23" t="s">
        <v>47</v>
      </c>
      <c r="C23" t="s">
        <v>90</v>
      </c>
      <c r="D23" s="3">
        <v>45383</v>
      </c>
      <c r="E23">
        <v>135</v>
      </c>
      <c r="F23">
        <v>135</v>
      </c>
      <c r="G23" t="s">
        <v>78</v>
      </c>
      <c r="H23" t="s">
        <v>68</v>
      </c>
    </row>
    <row r="24" spans="1:8">
      <c r="A24" t="s">
        <v>94</v>
      </c>
      <c r="B24" t="s">
        <v>47</v>
      </c>
      <c r="C24" t="s">
        <v>90</v>
      </c>
      <c r="D24" s="3">
        <v>45413</v>
      </c>
      <c r="E24">
        <v>93</v>
      </c>
      <c r="F24">
        <v>98</v>
      </c>
      <c r="G24" t="s">
        <v>71</v>
      </c>
      <c r="H24" t="s">
        <v>68</v>
      </c>
    </row>
    <row r="25" spans="1:8">
      <c r="A25" t="s">
        <v>95</v>
      </c>
      <c r="B25" t="s">
        <v>47</v>
      </c>
      <c r="C25" t="s">
        <v>90</v>
      </c>
      <c r="D25" s="3">
        <v>45444</v>
      </c>
      <c r="E25">
        <v>102</v>
      </c>
      <c r="F25">
        <v>106</v>
      </c>
      <c r="G25" t="s">
        <v>67</v>
      </c>
      <c r="H25" t="s">
        <v>68</v>
      </c>
    </row>
    <row r="26" spans="1:8">
      <c r="A26" t="s">
        <v>96</v>
      </c>
      <c r="B26" t="s">
        <v>47</v>
      </c>
      <c r="C26" t="s">
        <v>90</v>
      </c>
      <c r="D26" s="3">
        <v>45474</v>
      </c>
      <c r="E26">
        <v>55</v>
      </c>
      <c r="F26">
        <v>57</v>
      </c>
      <c r="G26" t="s">
        <v>73</v>
      </c>
      <c r="H26" t="s">
        <v>68</v>
      </c>
    </row>
    <row r="27" spans="1:8">
      <c r="A27" t="s">
        <v>97</v>
      </c>
      <c r="B27" t="s">
        <v>47</v>
      </c>
      <c r="C27" t="s">
        <v>90</v>
      </c>
      <c r="D27" s="3">
        <v>45505</v>
      </c>
      <c r="E27">
        <v>87</v>
      </c>
      <c r="F27">
        <v>86</v>
      </c>
      <c r="G27" t="s">
        <v>67</v>
      </c>
      <c r="H27" t="s">
        <v>68</v>
      </c>
    </row>
    <row r="28" spans="1:8">
      <c r="A28" t="s">
        <v>98</v>
      </c>
      <c r="B28" t="s">
        <v>47</v>
      </c>
      <c r="C28" t="s">
        <v>90</v>
      </c>
      <c r="D28" s="3">
        <v>45536</v>
      </c>
      <c r="E28">
        <v>100</v>
      </c>
      <c r="F28">
        <v>95</v>
      </c>
      <c r="G28" t="s">
        <v>67</v>
      </c>
      <c r="H28" t="s">
        <v>68</v>
      </c>
    </row>
    <row r="29" spans="1:8">
      <c r="A29" t="s">
        <v>99</v>
      </c>
      <c r="B29" t="s">
        <v>47</v>
      </c>
      <c r="C29" t="s">
        <v>90</v>
      </c>
      <c r="D29" s="3">
        <v>45566</v>
      </c>
      <c r="E29">
        <v>83</v>
      </c>
      <c r="F29">
        <v>78</v>
      </c>
      <c r="G29" t="s">
        <v>78</v>
      </c>
      <c r="H29" t="s">
        <v>68</v>
      </c>
    </row>
    <row r="30" spans="1:8">
      <c r="A30" t="s">
        <v>100</v>
      </c>
      <c r="B30" t="s">
        <v>47</v>
      </c>
      <c r="C30" t="s">
        <v>90</v>
      </c>
      <c r="D30" s="3">
        <v>45597</v>
      </c>
      <c r="E30">
        <v>107</v>
      </c>
      <c r="F30">
        <v>111</v>
      </c>
      <c r="G30" t="s">
        <v>78</v>
      </c>
      <c r="H30" t="s">
        <v>68</v>
      </c>
    </row>
    <row r="31" spans="1:8">
      <c r="A31" t="s">
        <v>101</v>
      </c>
      <c r="B31" t="s">
        <v>47</v>
      </c>
      <c r="C31" t="s">
        <v>90</v>
      </c>
      <c r="D31" s="3">
        <v>45627</v>
      </c>
      <c r="E31">
        <v>93</v>
      </c>
      <c r="F31">
        <v>91</v>
      </c>
      <c r="G31" t="s">
        <v>73</v>
      </c>
      <c r="H31" t="s">
        <v>68</v>
      </c>
    </row>
    <row r="32" spans="1:8">
      <c r="A32" t="s">
        <v>102</v>
      </c>
      <c r="B32" t="s">
        <v>47</v>
      </c>
      <c r="C32" t="s">
        <v>90</v>
      </c>
      <c r="D32" s="3">
        <v>45658</v>
      </c>
      <c r="E32">
        <v>39</v>
      </c>
      <c r="F32">
        <v>41</v>
      </c>
      <c r="G32" t="s">
        <v>67</v>
      </c>
      <c r="H32" t="s">
        <v>68</v>
      </c>
    </row>
    <row r="33" spans="1:8">
      <c r="A33" t="s">
        <v>103</v>
      </c>
      <c r="B33" t="s">
        <v>47</v>
      </c>
      <c r="C33" t="s">
        <v>90</v>
      </c>
      <c r="D33" s="3">
        <v>45689</v>
      </c>
      <c r="E33">
        <v>89</v>
      </c>
      <c r="F33">
        <v>88</v>
      </c>
      <c r="G33" t="s">
        <v>67</v>
      </c>
      <c r="H33" t="s">
        <v>68</v>
      </c>
    </row>
    <row r="34" spans="1:8">
      <c r="A34" t="s">
        <v>104</v>
      </c>
      <c r="B34" t="s">
        <v>47</v>
      </c>
      <c r="C34" t="s">
        <v>90</v>
      </c>
      <c r="D34" s="3">
        <v>45717</v>
      </c>
      <c r="E34">
        <v>112</v>
      </c>
      <c r="F34">
        <v>111</v>
      </c>
      <c r="G34" t="s">
        <v>73</v>
      </c>
      <c r="H34" t="s">
        <v>68</v>
      </c>
    </row>
    <row r="35" spans="1:8">
      <c r="A35" t="s">
        <v>105</v>
      </c>
      <c r="B35" t="s">
        <v>47</v>
      </c>
      <c r="C35" t="s">
        <v>90</v>
      </c>
      <c r="D35" s="3">
        <v>45748</v>
      </c>
      <c r="E35">
        <v>133</v>
      </c>
      <c r="F35">
        <v>137</v>
      </c>
      <c r="G35" t="s">
        <v>73</v>
      </c>
      <c r="H35" t="s">
        <v>68</v>
      </c>
    </row>
    <row r="36" spans="1:8">
      <c r="A36" t="s">
        <v>106</v>
      </c>
      <c r="B36" t="s">
        <v>47</v>
      </c>
      <c r="C36" t="s">
        <v>90</v>
      </c>
      <c r="D36" s="3">
        <v>45778</v>
      </c>
      <c r="E36">
        <v>53</v>
      </c>
      <c r="F36">
        <v>50</v>
      </c>
      <c r="G36" t="s">
        <v>73</v>
      </c>
      <c r="H36" t="s">
        <v>68</v>
      </c>
    </row>
    <row r="37" spans="1:8">
      <c r="A37" t="s">
        <v>107</v>
      </c>
      <c r="B37" t="s">
        <v>47</v>
      </c>
      <c r="C37" t="s">
        <v>90</v>
      </c>
      <c r="D37" s="3">
        <v>45809</v>
      </c>
      <c r="E37">
        <v>132</v>
      </c>
      <c r="F37">
        <v>128</v>
      </c>
      <c r="G37" t="s">
        <v>71</v>
      </c>
      <c r="H37" t="s">
        <v>68</v>
      </c>
    </row>
    <row r="38" spans="1:8">
      <c r="A38" t="s">
        <v>108</v>
      </c>
      <c r="B38" t="s">
        <v>48</v>
      </c>
      <c r="C38" t="s">
        <v>109</v>
      </c>
      <c r="D38" s="3">
        <v>45292</v>
      </c>
      <c r="E38">
        <v>106</v>
      </c>
      <c r="F38">
        <v>103</v>
      </c>
      <c r="G38" t="s">
        <v>73</v>
      </c>
      <c r="H38" t="s">
        <v>68</v>
      </c>
    </row>
    <row r="39" spans="1:8">
      <c r="A39" t="s">
        <v>110</v>
      </c>
      <c r="B39" t="s">
        <v>48</v>
      </c>
      <c r="C39" t="s">
        <v>109</v>
      </c>
      <c r="D39" s="3">
        <v>45323</v>
      </c>
      <c r="E39">
        <v>92</v>
      </c>
      <c r="F39">
        <v>96</v>
      </c>
      <c r="G39" t="s">
        <v>71</v>
      </c>
      <c r="H39" t="s">
        <v>68</v>
      </c>
    </row>
    <row r="40" spans="1:8">
      <c r="A40" t="s">
        <v>111</v>
      </c>
      <c r="B40" t="s">
        <v>48</v>
      </c>
      <c r="C40" t="s">
        <v>109</v>
      </c>
      <c r="D40" s="3">
        <v>45352</v>
      </c>
      <c r="E40">
        <v>81</v>
      </c>
      <c r="F40">
        <v>83</v>
      </c>
      <c r="G40" t="s">
        <v>78</v>
      </c>
      <c r="H40" t="s">
        <v>68</v>
      </c>
    </row>
    <row r="41" spans="1:8">
      <c r="A41" t="s">
        <v>112</v>
      </c>
      <c r="B41" t="s">
        <v>48</v>
      </c>
      <c r="C41" t="s">
        <v>109</v>
      </c>
      <c r="D41" s="3">
        <v>45383</v>
      </c>
      <c r="E41">
        <v>116</v>
      </c>
      <c r="F41">
        <v>119</v>
      </c>
      <c r="G41" t="s">
        <v>71</v>
      </c>
      <c r="H41" t="s">
        <v>68</v>
      </c>
    </row>
    <row r="42" spans="1:8">
      <c r="A42" t="s">
        <v>113</v>
      </c>
      <c r="B42" t="s">
        <v>48</v>
      </c>
      <c r="C42" t="s">
        <v>109</v>
      </c>
      <c r="D42" s="3">
        <v>45413</v>
      </c>
      <c r="E42">
        <v>96</v>
      </c>
      <c r="F42">
        <v>99</v>
      </c>
      <c r="G42" t="s">
        <v>78</v>
      </c>
      <c r="H42" t="s">
        <v>68</v>
      </c>
    </row>
    <row r="43" spans="1:8">
      <c r="A43" t="s">
        <v>114</v>
      </c>
      <c r="B43" t="s">
        <v>48</v>
      </c>
      <c r="C43" t="s">
        <v>109</v>
      </c>
      <c r="D43" s="3">
        <v>45444</v>
      </c>
      <c r="E43">
        <v>91</v>
      </c>
      <c r="F43">
        <v>96</v>
      </c>
      <c r="G43" t="s">
        <v>78</v>
      </c>
      <c r="H43" t="s">
        <v>68</v>
      </c>
    </row>
    <row r="44" spans="1:8">
      <c r="A44" t="s">
        <v>115</v>
      </c>
      <c r="B44" t="s">
        <v>48</v>
      </c>
      <c r="C44" t="s">
        <v>109</v>
      </c>
      <c r="D44" s="3">
        <v>45474</v>
      </c>
      <c r="E44">
        <v>114</v>
      </c>
      <c r="F44">
        <v>116</v>
      </c>
      <c r="G44" t="s">
        <v>71</v>
      </c>
      <c r="H44" t="s">
        <v>68</v>
      </c>
    </row>
    <row r="45" spans="1:8">
      <c r="A45" t="s">
        <v>116</v>
      </c>
      <c r="B45" t="s">
        <v>48</v>
      </c>
      <c r="C45" t="s">
        <v>109</v>
      </c>
      <c r="D45" s="3">
        <v>45505</v>
      </c>
      <c r="E45">
        <v>112</v>
      </c>
      <c r="F45">
        <v>111</v>
      </c>
      <c r="G45" t="s">
        <v>67</v>
      </c>
      <c r="H45" t="s">
        <v>68</v>
      </c>
    </row>
    <row r="46" spans="1:8">
      <c r="A46" t="s">
        <v>117</v>
      </c>
      <c r="B46" t="s">
        <v>48</v>
      </c>
      <c r="C46" t="s">
        <v>109</v>
      </c>
      <c r="D46" s="3">
        <v>45536</v>
      </c>
      <c r="E46">
        <v>91</v>
      </c>
      <c r="F46">
        <v>96</v>
      </c>
      <c r="G46" t="s">
        <v>78</v>
      </c>
      <c r="H46" t="s">
        <v>68</v>
      </c>
    </row>
    <row r="47" spans="1:8">
      <c r="A47" t="s">
        <v>118</v>
      </c>
      <c r="B47" t="s">
        <v>48</v>
      </c>
      <c r="C47" t="s">
        <v>109</v>
      </c>
      <c r="D47" s="3">
        <v>45566</v>
      </c>
      <c r="E47">
        <v>99</v>
      </c>
      <c r="F47">
        <v>104</v>
      </c>
      <c r="G47" t="s">
        <v>67</v>
      </c>
      <c r="H47" t="s">
        <v>68</v>
      </c>
    </row>
    <row r="48" spans="1:8">
      <c r="A48" t="s">
        <v>119</v>
      </c>
      <c r="B48" t="s">
        <v>48</v>
      </c>
      <c r="C48" t="s">
        <v>109</v>
      </c>
      <c r="D48" s="3">
        <v>45597</v>
      </c>
      <c r="E48">
        <v>117</v>
      </c>
      <c r="F48">
        <v>120</v>
      </c>
      <c r="G48" t="s">
        <v>71</v>
      </c>
      <c r="H48" t="s">
        <v>68</v>
      </c>
    </row>
    <row r="49" spans="1:8">
      <c r="A49" t="s">
        <v>120</v>
      </c>
      <c r="B49" t="s">
        <v>48</v>
      </c>
      <c r="C49" t="s">
        <v>109</v>
      </c>
      <c r="D49" s="3">
        <v>45627</v>
      </c>
      <c r="E49">
        <v>125</v>
      </c>
      <c r="F49">
        <v>129</v>
      </c>
      <c r="G49" t="s">
        <v>78</v>
      </c>
      <c r="H49" t="s">
        <v>68</v>
      </c>
    </row>
    <row r="50" spans="1:8">
      <c r="A50" t="s">
        <v>121</v>
      </c>
      <c r="B50" t="s">
        <v>48</v>
      </c>
      <c r="C50" t="s">
        <v>109</v>
      </c>
      <c r="D50" s="3">
        <v>45658</v>
      </c>
      <c r="E50">
        <v>91</v>
      </c>
      <c r="F50">
        <v>91</v>
      </c>
      <c r="G50" t="s">
        <v>78</v>
      </c>
      <c r="H50" t="s">
        <v>68</v>
      </c>
    </row>
    <row r="51" spans="1:8">
      <c r="A51" t="s">
        <v>122</v>
      </c>
      <c r="B51" t="s">
        <v>48</v>
      </c>
      <c r="C51" t="s">
        <v>109</v>
      </c>
      <c r="D51" s="3">
        <v>45689</v>
      </c>
      <c r="E51">
        <v>100</v>
      </c>
      <c r="F51">
        <v>98</v>
      </c>
      <c r="G51" t="s">
        <v>71</v>
      </c>
      <c r="H51" t="s">
        <v>68</v>
      </c>
    </row>
    <row r="52" spans="1:8">
      <c r="A52" t="s">
        <v>123</v>
      </c>
      <c r="B52" t="s">
        <v>48</v>
      </c>
      <c r="C52" t="s">
        <v>109</v>
      </c>
      <c r="D52" s="3">
        <v>45717</v>
      </c>
      <c r="E52">
        <v>101</v>
      </c>
      <c r="F52">
        <v>97</v>
      </c>
      <c r="G52" t="s">
        <v>71</v>
      </c>
      <c r="H52" t="s">
        <v>68</v>
      </c>
    </row>
    <row r="53" spans="1:8">
      <c r="A53" t="s">
        <v>124</v>
      </c>
      <c r="B53" t="s">
        <v>48</v>
      </c>
      <c r="C53" t="s">
        <v>109</v>
      </c>
      <c r="D53" s="3">
        <v>45748</v>
      </c>
      <c r="E53">
        <v>123</v>
      </c>
      <c r="F53">
        <v>125</v>
      </c>
      <c r="G53" t="s">
        <v>71</v>
      </c>
      <c r="H53" t="s">
        <v>68</v>
      </c>
    </row>
    <row r="54" spans="1:8">
      <c r="A54" t="s">
        <v>125</v>
      </c>
      <c r="B54" t="s">
        <v>48</v>
      </c>
      <c r="C54" t="s">
        <v>109</v>
      </c>
      <c r="D54" s="3">
        <v>45778</v>
      </c>
      <c r="E54">
        <v>121</v>
      </c>
      <c r="F54">
        <v>118</v>
      </c>
      <c r="G54" t="s">
        <v>67</v>
      </c>
      <c r="H54" t="s">
        <v>68</v>
      </c>
    </row>
    <row r="55" spans="1:8">
      <c r="A55" t="s">
        <v>126</v>
      </c>
      <c r="B55" t="s">
        <v>48</v>
      </c>
      <c r="C55" t="s">
        <v>109</v>
      </c>
      <c r="D55" s="3">
        <v>45809</v>
      </c>
      <c r="E55">
        <v>96</v>
      </c>
      <c r="F55">
        <v>101</v>
      </c>
      <c r="G55" t="s">
        <v>73</v>
      </c>
      <c r="H55" t="s">
        <v>68</v>
      </c>
    </row>
    <row r="56" spans="1:8">
      <c r="A56" t="s">
        <v>127</v>
      </c>
      <c r="B56" t="s">
        <v>128</v>
      </c>
      <c r="C56" t="s">
        <v>129</v>
      </c>
      <c r="D56" s="3">
        <v>45292</v>
      </c>
      <c r="E56">
        <v>28</v>
      </c>
      <c r="F56">
        <v>32</v>
      </c>
      <c r="G56" t="s">
        <v>73</v>
      </c>
      <c r="H56" t="s">
        <v>68</v>
      </c>
    </row>
    <row r="57" spans="1:8">
      <c r="A57" t="s">
        <v>130</v>
      </c>
      <c r="B57" t="s">
        <v>128</v>
      </c>
      <c r="C57" t="s">
        <v>129</v>
      </c>
      <c r="D57" s="3">
        <v>45323</v>
      </c>
      <c r="E57">
        <v>31</v>
      </c>
      <c r="F57">
        <v>34</v>
      </c>
      <c r="G57" t="s">
        <v>67</v>
      </c>
      <c r="H57" t="s">
        <v>68</v>
      </c>
    </row>
    <row r="58" spans="1:8">
      <c r="A58" t="s">
        <v>131</v>
      </c>
      <c r="B58" t="s">
        <v>128</v>
      </c>
      <c r="C58" t="s">
        <v>129</v>
      </c>
      <c r="D58" s="3">
        <v>45352</v>
      </c>
      <c r="E58">
        <v>12</v>
      </c>
      <c r="F58">
        <v>12</v>
      </c>
      <c r="G58" t="s">
        <v>73</v>
      </c>
      <c r="H58" t="s">
        <v>68</v>
      </c>
    </row>
    <row r="59" spans="1:8">
      <c r="A59" t="s">
        <v>132</v>
      </c>
      <c r="B59" t="s">
        <v>128</v>
      </c>
      <c r="C59" t="s">
        <v>129</v>
      </c>
      <c r="D59" s="3">
        <v>45383</v>
      </c>
      <c r="E59">
        <v>30</v>
      </c>
      <c r="F59">
        <v>32</v>
      </c>
      <c r="G59" t="s">
        <v>71</v>
      </c>
      <c r="H59" t="s">
        <v>68</v>
      </c>
    </row>
    <row r="60" spans="1:8">
      <c r="A60" t="s">
        <v>133</v>
      </c>
      <c r="B60" t="s">
        <v>128</v>
      </c>
      <c r="C60" t="s">
        <v>129</v>
      </c>
      <c r="D60" s="3">
        <v>45413</v>
      </c>
      <c r="E60">
        <v>0</v>
      </c>
      <c r="F60">
        <v>0</v>
      </c>
      <c r="G60" t="s">
        <v>78</v>
      </c>
      <c r="H60" t="s">
        <v>68</v>
      </c>
    </row>
    <row r="61" spans="1:8">
      <c r="A61" t="s">
        <v>134</v>
      </c>
      <c r="B61" t="s">
        <v>128</v>
      </c>
      <c r="C61" t="s">
        <v>129</v>
      </c>
      <c r="D61" s="3">
        <v>45444</v>
      </c>
      <c r="E61">
        <v>0</v>
      </c>
      <c r="F61">
        <v>3</v>
      </c>
      <c r="G61" t="s">
        <v>67</v>
      </c>
      <c r="H61" t="s">
        <v>68</v>
      </c>
    </row>
    <row r="62" spans="1:8">
      <c r="A62" t="s">
        <v>135</v>
      </c>
      <c r="B62" t="s">
        <v>128</v>
      </c>
      <c r="C62" t="s">
        <v>129</v>
      </c>
      <c r="D62" s="3">
        <v>45474</v>
      </c>
      <c r="E62">
        <v>36</v>
      </c>
      <c r="F62">
        <v>31</v>
      </c>
      <c r="G62" t="s">
        <v>67</v>
      </c>
      <c r="H62" t="s">
        <v>68</v>
      </c>
    </row>
    <row r="63" spans="1:8">
      <c r="A63" t="s">
        <v>136</v>
      </c>
      <c r="B63" t="s">
        <v>128</v>
      </c>
      <c r="C63" t="s">
        <v>129</v>
      </c>
      <c r="D63" s="3">
        <v>45505</v>
      </c>
      <c r="E63">
        <v>0</v>
      </c>
      <c r="F63">
        <v>0</v>
      </c>
      <c r="G63" t="s">
        <v>78</v>
      </c>
      <c r="H63" t="s">
        <v>68</v>
      </c>
    </row>
    <row r="64" spans="1:8">
      <c r="A64" t="s">
        <v>137</v>
      </c>
      <c r="B64" t="s">
        <v>128</v>
      </c>
      <c r="C64" t="s">
        <v>129</v>
      </c>
      <c r="D64" s="3">
        <v>45536</v>
      </c>
      <c r="E64">
        <v>0</v>
      </c>
      <c r="F64">
        <v>0</v>
      </c>
      <c r="G64" t="s">
        <v>78</v>
      </c>
      <c r="H64" t="s">
        <v>68</v>
      </c>
    </row>
    <row r="65" spans="1:8">
      <c r="A65" t="s">
        <v>138</v>
      </c>
      <c r="B65" t="s">
        <v>128</v>
      </c>
      <c r="C65" t="s">
        <v>129</v>
      </c>
      <c r="D65" s="3">
        <v>45566</v>
      </c>
      <c r="E65">
        <v>23</v>
      </c>
      <c r="F65">
        <v>21</v>
      </c>
      <c r="G65" t="s">
        <v>67</v>
      </c>
      <c r="H65" t="s">
        <v>68</v>
      </c>
    </row>
    <row r="66" spans="1:8">
      <c r="A66" t="s">
        <v>139</v>
      </c>
      <c r="B66" t="s">
        <v>128</v>
      </c>
      <c r="C66" t="s">
        <v>129</v>
      </c>
      <c r="D66" s="3">
        <v>45597</v>
      </c>
      <c r="E66">
        <v>31</v>
      </c>
      <c r="F66">
        <v>29</v>
      </c>
      <c r="G66" t="s">
        <v>73</v>
      </c>
      <c r="H66" t="s">
        <v>68</v>
      </c>
    </row>
    <row r="67" spans="1:8">
      <c r="A67" t="s">
        <v>140</v>
      </c>
      <c r="B67" t="s">
        <v>128</v>
      </c>
      <c r="C67" t="s">
        <v>129</v>
      </c>
      <c r="D67" s="3">
        <v>45627</v>
      </c>
      <c r="E67">
        <v>15</v>
      </c>
      <c r="F67">
        <v>13</v>
      </c>
      <c r="G67" t="s">
        <v>71</v>
      </c>
      <c r="H67" t="s">
        <v>68</v>
      </c>
    </row>
    <row r="68" spans="1:8">
      <c r="A68" t="s">
        <v>141</v>
      </c>
      <c r="B68" t="s">
        <v>128</v>
      </c>
      <c r="C68" t="s">
        <v>129</v>
      </c>
      <c r="D68" s="3">
        <v>45658</v>
      </c>
      <c r="E68">
        <v>0</v>
      </c>
      <c r="F68">
        <v>1</v>
      </c>
      <c r="G68" t="s">
        <v>78</v>
      </c>
      <c r="H68" t="s">
        <v>68</v>
      </c>
    </row>
    <row r="69" spans="1:8">
      <c r="A69" t="s">
        <v>142</v>
      </c>
      <c r="B69" t="s">
        <v>128</v>
      </c>
      <c r="C69" t="s">
        <v>129</v>
      </c>
      <c r="D69" s="3">
        <v>45689</v>
      </c>
      <c r="E69">
        <v>8</v>
      </c>
      <c r="F69">
        <v>13</v>
      </c>
      <c r="G69" t="s">
        <v>71</v>
      </c>
      <c r="H69" t="s">
        <v>68</v>
      </c>
    </row>
    <row r="70" spans="1:8">
      <c r="A70" t="s">
        <v>143</v>
      </c>
      <c r="B70" t="s">
        <v>128</v>
      </c>
      <c r="C70" t="s">
        <v>129</v>
      </c>
      <c r="D70" s="3">
        <v>45717</v>
      </c>
      <c r="E70">
        <v>0</v>
      </c>
      <c r="F70">
        <v>0</v>
      </c>
      <c r="G70" t="s">
        <v>71</v>
      </c>
      <c r="H70" t="s">
        <v>68</v>
      </c>
    </row>
    <row r="71" spans="1:8">
      <c r="A71" t="s">
        <v>144</v>
      </c>
      <c r="B71" t="s">
        <v>128</v>
      </c>
      <c r="C71" t="s">
        <v>129</v>
      </c>
      <c r="D71" s="3">
        <v>45748</v>
      </c>
      <c r="E71">
        <v>0</v>
      </c>
      <c r="F71">
        <v>0</v>
      </c>
      <c r="G71" t="s">
        <v>73</v>
      </c>
      <c r="H71" t="s">
        <v>68</v>
      </c>
    </row>
    <row r="72" spans="1:8">
      <c r="A72" t="s">
        <v>145</v>
      </c>
      <c r="B72" t="s">
        <v>128</v>
      </c>
      <c r="C72" t="s">
        <v>129</v>
      </c>
      <c r="D72" s="3">
        <v>45778</v>
      </c>
      <c r="E72">
        <v>0</v>
      </c>
      <c r="F72">
        <v>0</v>
      </c>
      <c r="G72" t="s">
        <v>78</v>
      </c>
      <c r="H72" t="s">
        <v>68</v>
      </c>
    </row>
    <row r="73" spans="1:8">
      <c r="A73" t="s">
        <v>146</v>
      </c>
      <c r="B73" t="s">
        <v>128</v>
      </c>
      <c r="C73" t="s">
        <v>129</v>
      </c>
      <c r="D73" s="3">
        <v>45809</v>
      </c>
      <c r="E73">
        <v>25</v>
      </c>
      <c r="F73">
        <v>21</v>
      </c>
      <c r="G73" t="s">
        <v>73</v>
      </c>
      <c r="H73" t="s">
        <v>68</v>
      </c>
    </row>
    <row r="74" spans="1:8">
      <c r="A74" t="s">
        <v>147</v>
      </c>
      <c r="B74" t="s">
        <v>148</v>
      </c>
      <c r="C74" t="s">
        <v>149</v>
      </c>
      <c r="D74" s="3">
        <v>45292</v>
      </c>
      <c r="E74">
        <v>34</v>
      </c>
      <c r="F74">
        <v>30</v>
      </c>
      <c r="G74" t="s">
        <v>67</v>
      </c>
      <c r="H74" t="s">
        <v>68</v>
      </c>
    </row>
    <row r="75" spans="1:8">
      <c r="A75" t="s">
        <v>150</v>
      </c>
      <c r="B75" t="s">
        <v>148</v>
      </c>
      <c r="C75" t="s">
        <v>149</v>
      </c>
      <c r="D75" s="3">
        <v>45323</v>
      </c>
      <c r="E75">
        <v>0</v>
      </c>
      <c r="F75">
        <v>2</v>
      </c>
      <c r="G75" t="s">
        <v>73</v>
      </c>
      <c r="H75" t="s">
        <v>68</v>
      </c>
    </row>
    <row r="76" spans="1:8">
      <c r="A76" t="s">
        <v>151</v>
      </c>
      <c r="B76" t="s">
        <v>148</v>
      </c>
      <c r="C76" t="s">
        <v>149</v>
      </c>
      <c r="D76" s="3">
        <v>45352</v>
      </c>
      <c r="E76">
        <v>39</v>
      </c>
      <c r="F76">
        <v>34</v>
      </c>
      <c r="G76" t="s">
        <v>73</v>
      </c>
      <c r="H76" t="s">
        <v>68</v>
      </c>
    </row>
    <row r="77" spans="1:8">
      <c r="A77" t="s">
        <v>152</v>
      </c>
      <c r="B77" t="s">
        <v>148</v>
      </c>
      <c r="C77" t="s">
        <v>149</v>
      </c>
      <c r="D77" s="3">
        <v>45383</v>
      </c>
      <c r="E77">
        <v>19</v>
      </c>
      <c r="F77">
        <v>21</v>
      </c>
      <c r="G77" t="s">
        <v>78</v>
      </c>
      <c r="H77" t="s">
        <v>68</v>
      </c>
    </row>
    <row r="78" spans="1:8">
      <c r="A78" t="s">
        <v>153</v>
      </c>
      <c r="B78" t="s">
        <v>148</v>
      </c>
      <c r="C78" t="s">
        <v>149</v>
      </c>
      <c r="D78" s="3">
        <v>45413</v>
      </c>
      <c r="E78">
        <v>0</v>
      </c>
      <c r="F78">
        <v>3</v>
      </c>
      <c r="G78" t="s">
        <v>73</v>
      </c>
      <c r="H78" t="s">
        <v>68</v>
      </c>
    </row>
    <row r="79" spans="1:8">
      <c r="A79" t="s">
        <v>154</v>
      </c>
      <c r="B79" t="s">
        <v>148</v>
      </c>
      <c r="C79" t="s">
        <v>149</v>
      </c>
      <c r="D79" s="3">
        <v>45444</v>
      </c>
      <c r="E79">
        <v>21</v>
      </c>
      <c r="F79">
        <v>20</v>
      </c>
      <c r="G79" t="s">
        <v>67</v>
      </c>
      <c r="H79" t="s">
        <v>68</v>
      </c>
    </row>
    <row r="80" spans="1:8">
      <c r="A80" t="s">
        <v>155</v>
      </c>
      <c r="B80" t="s">
        <v>148</v>
      </c>
      <c r="C80" t="s">
        <v>149</v>
      </c>
      <c r="D80" s="3">
        <v>45474</v>
      </c>
      <c r="E80">
        <v>22</v>
      </c>
      <c r="F80">
        <v>22</v>
      </c>
      <c r="G80" t="s">
        <v>71</v>
      </c>
      <c r="H80" t="s">
        <v>68</v>
      </c>
    </row>
    <row r="81" spans="1:8">
      <c r="A81" t="s">
        <v>156</v>
      </c>
      <c r="B81" t="s">
        <v>148</v>
      </c>
      <c r="C81" t="s">
        <v>149</v>
      </c>
      <c r="D81" s="3">
        <v>45505</v>
      </c>
      <c r="E81">
        <v>27</v>
      </c>
      <c r="F81">
        <v>30</v>
      </c>
      <c r="G81" t="s">
        <v>67</v>
      </c>
      <c r="H81" t="s">
        <v>68</v>
      </c>
    </row>
    <row r="82" spans="1:8">
      <c r="A82" t="s">
        <v>157</v>
      </c>
      <c r="B82" t="s">
        <v>148</v>
      </c>
      <c r="C82" t="s">
        <v>149</v>
      </c>
      <c r="D82" s="3">
        <v>45536</v>
      </c>
      <c r="E82">
        <v>20</v>
      </c>
      <c r="F82">
        <v>16</v>
      </c>
      <c r="G82" t="s">
        <v>71</v>
      </c>
      <c r="H82" t="s">
        <v>68</v>
      </c>
    </row>
    <row r="83" spans="1:8">
      <c r="A83" t="s">
        <v>158</v>
      </c>
      <c r="B83" t="s">
        <v>148</v>
      </c>
      <c r="C83" t="s">
        <v>149</v>
      </c>
      <c r="D83" s="3">
        <v>45566</v>
      </c>
      <c r="E83">
        <v>15</v>
      </c>
      <c r="F83">
        <v>13</v>
      </c>
      <c r="G83" t="s">
        <v>73</v>
      </c>
      <c r="H83" t="s">
        <v>68</v>
      </c>
    </row>
    <row r="84" spans="1:8">
      <c r="A84" t="s">
        <v>159</v>
      </c>
      <c r="B84" t="s">
        <v>148</v>
      </c>
      <c r="C84" t="s">
        <v>149</v>
      </c>
      <c r="D84" s="3">
        <v>45597</v>
      </c>
      <c r="E84">
        <v>23</v>
      </c>
      <c r="F84">
        <v>27</v>
      </c>
      <c r="G84" t="s">
        <v>71</v>
      </c>
      <c r="H84" t="s">
        <v>68</v>
      </c>
    </row>
    <row r="85" spans="1:8">
      <c r="A85" t="s">
        <v>160</v>
      </c>
      <c r="B85" t="s">
        <v>148</v>
      </c>
      <c r="C85" t="s">
        <v>149</v>
      </c>
      <c r="D85" s="3">
        <v>45627</v>
      </c>
      <c r="E85">
        <v>23</v>
      </c>
      <c r="F85">
        <v>24</v>
      </c>
      <c r="G85" t="s">
        <v>78</v>
      </c>
      <c r="H85" t="s">
        <v>68</v>
      </c>
    </row>
    <row r="86" spans="1:8">
      <c r="A86" t="s">
        <v>161</v>
      </c>
      <c r="B86" t="s">
        <v>148</v>
      </c>
      <c r="C86" t="s">
        <v>149</v>
      </c>
      <c r="D86" s="3">
        <v>45658</v>
      </c>
      <c r="E86">
        <v>16</v>
      </c>
      <c r="F86">
        <v>14</v>
      </c>
      <c r="G86" t="s">
        <v>78</v>
      </c>
      <c r="H86" t="s">
        <v>68</v>
      </c>
    </row>
    <row r="87" spans="1:8">
      <c r="A87" t="s">
        <v>162</v>
      </c>
      <c r="B87" t="s">
        <v>148</v>
      </c>
      <c r="C87" t="s">
        <v>149</v>
      </c>
      <c r="D87" s="3">
        <v>45689</v>
      </c>
      <c r="E87">
        <v>9</v>
      </c>
      <c r="F87">
        <v>14</v>
      </c>
      <c r="G87" t="s">
        <v>78</v>
      </c>
      <c r="H87" t="s">
        <v>68</v>
      </c>
    </row>
    <row r="88" spans="1:8">
      <c r="A88" t="s">
        <v>163</v>
      </c>
      <c r="B88" t="s">
        <v>148</v>
      </c>
      <c r="C88" t="s">
        <v>149</v>
      </c>
      <c r="D88" s="3">
        <v>45717</v>
      </c>
      <c r="E88">
        <v>0</v>
      </c>
      <c r="F88">
        <v>0</v>
      </c>
      <c r="G88" t="s">
        <v>73</v>
      </c>
      <c r="H88" t="s">
        <v>68</v>
      </c>
    </row>
    <row r="89" spans="1:8">
      <c r="A89" t="s">
        <v>164</v>
      </c>
      <c r="B89" t="s">
        <v>148</v>
      </c>
      <c r="C89" t="s">
        <v>149</v>
      </c>
      <c r="D89" s="3">
        <v>45748</v>
      </c>
      <c r="E89">
        <v>16</v>
      </c>
      <c r="F89">
        <v>20</v>
      </c>
      <c r="G89" t="s">
        <v>71</v>
      </c>
      <c r="H89" t="s">
        <v>68</v>
      </c>
    </row>
    <row r="90" spans="1:8">
      <c r="A90" t="s">
        <v>165</v>
      </c>
      <c r="B90" t="s">
        <v>148</v>
      </c>
      <c r="C90" t="s">
        <v>149</v>
      </c>
      <c r="D90" s="3">
        <v>45778</v>
      </c>
      <c r="E90">
        <v>16</v>
      </c>
      <c r="F90">
        <v>16</v>
      </c>
      <c r="G90" t="s">
        <v>71</v>
      </c>
      <c r="H90" t="s">
        <v>68</v>
      </c>
    </row>
    <row r="91" spans="1:8">
      <c r="A91" t="s">
        <v>166</v>
      </c>
      <c r="B91" t="s">
        <v>148</v>
      </c>
      <c r="C91" t="s">
        <v>149</v>
      </c>
      <c r="D91" s="3">
        <v>45809</v>
      </c>
      <c r="E91">
        <v>14</v>
      </c>
      <c r="F91">
        <v>14</v>
      </c>
      <c r="G91" t="s">
        <v>78</v>
      </c>
      <c r="H91" t="s">
        <v>68</v>
      </c>
    </row>
    <row r="92" spans="1:8">
      <c r="A92" t="s">
        <v>167</v>
      </c>
      <c r="B92" t="s">
        <v>168</v>
      </c>
      <c r="C92" t="s">
        <v>169</v>
      </c>
      <c r="D92" s="3">
        <v>45292</v>
      </c>
      <c r="E92">
        <v>69</v>
      </c>
      <c r="F92">
        <v>68</v>
      </c>
      <c r="G92" t="s">
        <v>71</v>
      </c>
      <c r="H92" t="s">
        <v>68</v>
      </c>
    </row>
    <row r="93" spans="1:8">
      <c r="A93" t="s">
        <v>170</v>
      </c>
      <c r="B93" t="s">
        <v>168</v>
      </c>
      <c r="C93" t="s">
        <v>169</v>
      </c>
      <c r="D93" s="3">
        <v>45323</v>
      </c>
      <c r="E93">
        <v>73</v>
      </c>
      <c r="F93">
        <v>78</v>
      </c>
      <c r="G93" t="s">
        <v>78</v>
      </c>
      <c r="H93" t="s">
        <v>68</v>
      </c>
    </row>
    <row r="94" spans="1:8">
      <c r="A94" t="s">
        <v>171</v>
      </c>
      <c r="B94" t="s">
        <v>168</v>
      </c>
      <c r="C94" t="s">
        <v>169</v>
      </c>
      <c r="D94" s="3">
        <v>45352</v>
      </c>
      <c r="E94">
        <v>61</v>
      </c>
      <c r="F94">
        <v>58</v>
      </c>
      <c r="G94" t="s">
        <v>78</v>
      </c>
      <c r="H94" t="s">
        <v>68</v>
      </c>
    </row>
    <row r="95" spans="1:8">
      <c r="A95" t="s">
        <v>172</v>
      </c>
      <c r="B95" t="s">
        <v>168</v>
      </c>
      <c r="C95" t="s">
        <v>169</v>
      </c>
      <c r="D95" s="3">
        <v>45383</v>
      </c>
      <c r="E95">
        <v>54</v>
      </c>
      <c r="F95">
        <v>50</v>
      </c>
      <c r="G95" t="s">
        <v>71</v>
      </c>
      <c r="H95" t="s">
        <v>68</v>
      </c>
    </row>
    <row r="96" spans="1:8">
      <c r="A96" t="s">
        <v>173</v>
      </c>
      <c r="B96" t="s">
        <v>168</v>
      </c>
      <c r="C96" t="s">
        <v>169</v>
      </c>
      <c r="D96" s="3">
        <v>45413</v>
      </c>
      <c r="E96">
        <v>54</v>
      </c>
      <c r="F96">
        <v>53</v>
      </c>
      <c r="G96" t="s">
        <v>67</v>
      </c>
      <c r="H96" t="s">
        <v>68</v>
      </c>
    </row>
    <row r="97" spans="1:8">
      <c r="A97" t="s">
        <v>174</v>
      </c>
      <c r="B97" t="s">
        <v>168</v>
      </c>
      <c r="C97" t="s">
        <v>169</v>
      </c>
      <c r="D97" s="3">
        <v>45444</v>
      </c>
      <c r="E97">
        <v>48</v>
      </c>
      <c r="F97">
        <v>48</v>
      </c>
      <c r="G97" t="s">
        <v>67</v>
      </c>
      <c r="H97" t="s">
        <v>68</v>
      </c>
    </row>
    <row r="98" spans="1:8">
      <c r="A98" t="s">
        <v>175</v>
      </c>
      <c r="B98" t="s">
        <v>168</v>
      </c>
      <c r="C98" t="s">
        <v>169</v>
      </c>
      <c r="D98" s="3">
        <v>45474</v>
      </c>
      <c r="E98">
        <v>45</v>
      </c>
      <c r="F98">
        <v>48</v>
      </c>
      <c r="G98" t="s">
        <v>73</v>
      </c>
      <c r="H98" t="s">
        <v>68</v>
      </c>
    </row>
    <row r="99" spans="1:8">
      <c r="A99" t="s">
        <v>176</v>
      </c>
      <c r="B99" t="s">
        <v>168</v>
      </c>
      <c r="C99" t="s">
        <v>169</v>
      </c>
      <c r="D99" s="3">
        <v>45505</v>
      </c>
      <c r="E99">
        <v>34</v>
      </c>
      <c r="F99">
        <v>33</v>
      </c>
      <c r="G99" t="s">
        <v>71</v>
      </c>
      <c r="H99" t="s">
        <v>68</v>
      </c>
    </row>
    <row r="100" spans="1:8">
      <c r="A100" t="s">
        <v>177</v>
      </c>
      <c r="B100" t="s">
        <v>168</v>
      </c>
      <c r="C100" t="s">
        <v>169</v>
      </c>
      <c r="D100" s="3">
        <v>45536</v>
      </c>
      <c r="E100">
        <v>57</v>
      </c>
      <c r="F100">
        <v>56</v>
      </c>
      <c r="G100" t="s">
        <v>71</v>
      </c>
      <c r="H100" t="s">
        <v>68</v>
      </c>
    </row>
    <row r="101" spans="1:8">
      <c r="A101" t="s">
        <v>178</v>
      </c>
      <c r="B101" t="s">
        <v>168</v>
      </c>
      <c r="C101" t="s">
        <v>169</v>
      </c>
      <c r="D101" s="3">
        <v>45566</v>
      </c>
      <c r="E101">
        <v>53</v>
      </c>
      <c r="F101">
        <v>48</v>
      </c>
      <c r="G101" t="s">
        <v>78</v>
      </c>
      <c r="H101" t="s">
        <v>68</v>
      </c>
    </row>
    <row r="102" spans="1:8">
      <c r="A102" t="s">
        <v>179</v>
      </c>
      <c r="B102" t="s">
        <v>168</v>
      </c>
      <c r="C102" t="s">
        <v>169</v>
      </c>
      <c r="D102" s="3">
        <v>45597</v>
      </c>
      <c r="E102">
        <v>49</v>
      </c>
      <c r="F102">
        <v>48</v>
      </c>
      <c r="G102" t="s">
        <v>67</v>
      </c>
      <c r="H102" t="s">
        <v>68</v>
      </c>
    </row>
    <row r="103" spans="1:8">
      <c r="A103" t="s">
        <v>180</v>
      </c>
      <c r="B103" t="s">
        <v>168</v>
      </c>
      <c r="C103" t="s">
        <v>169</v>
      </c>
      <c r="D103" s="3">
        <v>45627</v>
      </c>
      <c r="E103">
        <v>33</v>
      </c>
      <c r="F103">
        <v>35</v>
      </c>
      <c r="G103" t="s">
        <v>73</v>
      </c>
      <c r="H103" t="s">
        <v>68</v>
      </c>
    </row>
    <row r="104" spans="1:8">
      <c r="A104" t="s">
        <v>181</v>
      </c>
      <c r="B104" t="s">
        <v>168</v>
      </c>
      <c r="C104" t="s">
        <v>169</v>
      </c>
      <c r="D104" s="3">
        <v>45658</v>
      </c>
      <c r="E104">
        <v>40</v>
      </c>
      <c r="F104">
        <v>37</v>
      </c>
      <c r="G104" t="s">
        <v>71</v>
      </c>
      <c r="H104" t="s">
        <v>68</v>
      </c>
    </row>
    <row r="105" spans="1:8">
      <c r="A105" t="s">
        <v>182</v>
      </c>
      <c r="B105" t="s">
        <v>168</v>
      </c>
      <c r="C105" t="s">
        <v>169</v>
      </c>
      <c r="D105" s="3">
        <v>45689</v>
      </c>
      <c r="E105">
        <v>42</v>
      </c>
      <c r="F105">
        <v>42</v>
      </c>
      <c r="G105" t="s">
        <v>67</v>
      </c>
      <c r="H105" t="s">
        <v>68</v>
      </c>
    </row>
    <row r="106" spans="1:8">
      <c r="A106" t="s">
        <v>183</v>
      </c>
      <c r="B106" t="s">
        <v>168</v>
      </c>
      <c r="C106" t="s">
        <v>169</v>
      </c>
      <c r="D106" s="3">
        <v>45717</v>
      </c>
      <c r="E106">
        <v>40</v>
      </c>
      <c r="F106">
        <v>40</v>
      </c>
      <c r="G106" t="s">
        <v>71</v>
      </c>
      <c r="H106" t="s">
        <v>68</v>
      </c>
    </row>
    <row r="107" spans="1:8">
      <c r="A107" t="s">
        <v>184</v>
      </c>
      <c r="B107" t="s">
        <v>168</v>
      </c>
      <c r="C107" t="s">
        <v>169</v>
      </c>
      <c r="D107" s="3">
        <v>45748</v>
      </c>
      <c r="E107">
        <v>42</v>
      </c>
      <c r="F107">
        <v>42</v>
      </c>
      <c r="G107" t="s">
        <v>67</v>
      </c>
      <c r="H107" t="s">
        <v>68</v>
      </c>
    </row>
    <row r="108" spans="1:8">
      <c r="A108" t="s">
        <v>185</v>
      </c>
      <c r="B108" t="s">
        <v>168</v>
      </c>
      <c r="C108" t="s">
        <v>169</v>
      </c>
      <c r="D108" s="3">
        <v>45778</v>
      </c>
      <c r="E108">
        <v>34</v>
      </c>
      <c r="F108">
        <v>34</v>
      </c>
      <c r="G108" t="s">
        <v>73</v>
      </c>
      <c r="H108" t="s">
        <v>68</v>
      </c>
    </row>
    <row r="109" spans="1:8">
      <c r="A109" t="s">
        <v>186</v>
      </c>
      <c r="B109" t="s">
        <v>168</v>
      </c>
      <c r="C109" t="s">
        <v>169</v>
      </c>
      <c r="D109" s="3">
        <v>45809</v>
      </c>
      <c r="E109">
        <v>26</v>
      </c>
      <c r="F109">
        <v>30</v>
      </c>
      <c r="G109" t="s">
        <v>67</v>
      </c>
      <c r="H109" t="s">
        <v>68</v>
      </c>
    </row>
    <row r="110" spans="1:8">
      <c r="A110" t="s">
        <v>187</v>
      </c>
      <c r="B110" t="s">
        <v>49</v>
      </c>
      <c r="C110" t="s">
        <v>188</v>
      </c>
      <c r="D110" s="3">
        <v>45292</v>
      </c>
      <c r="E110">
        <v>73</v>
      </c>
      <c r="F110">
        <v>70</v>
      </c>
      <c r="G110" t="s">
        <v>67</v>
      </c>
      <c r="H110" t="s">
        <v>68</v>
      </c>
    </row>
    <row r="111" spans="1:8">
      <c r="A111" t="s">
        <v>189</v>
      </c>
      <c r="B111" t="s">
        <v>49</v>
      </c>
      <c r="C111" t="s">
        <v>188</v>
      </c>
      <c r="D111" s="3">
        <v>45323</v>
      </c>
      <c r="E111">
        <v>61</v>
      </c>
      <c r="F111">
        <v>62</v>
      </c>
      <c r="G111" t="s">
        <v>71</v>
      </c>
      <c r="H111" t="s">
        <v>68</v>
      </c>
    </row>
    <row r="112" spans="1:8">
      <c r="A112" t="s">
        <v>190</v>
      </c>
      <c r="B112" t="s">
        <v>49</v>
      </c>
      <c r="C112" t="s">
        <v>188</v>
      </c>
      <c r="D112" s="3">
        <v>45352</v>
      </c>
      <c r="E112">
        <v>82</v>
      </c>
      <c r="F112">
        <v>83</v>
      </c>
      <c r="G112" t="s">
        <v>67</v>
      </c>
      <c r="H112" t="s">
        <v>68</v>
      </c>
    </row>
    <row r="113" spans="1:8">
      <c r="A113" t="s">
        <v>191</v>
      </c>
      <c r="B113" t="s">
        <v>49</v>
      </c>
      <c r="C113" t="s">
        <v>188</v>
      </c>
      <c r="D113" s="3">
        <v>45383</v>
      </c>
      <c r="E113">
        <v>100</v>
      </c>
      <c r="F113">
        <v>99</v>
      </c>
      <c r="G113" t="s">
        <v>67</v>
      </c>
      <c r="H113" t="s">
        <v>68</v>
      </c>
    </row>
    <row r="114" spans="1:8">
      <c r="A114" t="s">
        <v>192</v>
      </c>
      <c r="B114" t="s">
        <v>49</v>
      </c>
      <c r="C114" t="s">
        <v>188</v>
      </c>
      <c r="D114" s="3">
        <v>45413</v>
      </c>
      <c r="E114">
        <v>75</v>
      </c>
      <c r="F114">
        <v>70</v>
      </c>
      <c r="G114" t="s">
        <v>73</v>
      </c>
      <c r="H114" t="s">
        <v>68</v>
      </c>
    </row>
    <row r="115" spans="1:8">
      <c r="A115" t="s">
        <v>193</v>
      </c>
      <c r="B115" t="s">
        <v>49</v>
      </c>
      <c r="C115" t="s">
        <v>188</v>
      </c>
      <c r="D115" s="3">
        <v>45444</v>
      </c>
      <c r="E115">
        <v>69</v>
      </c>
      <c r="F115">
        <v>67</v>
      </c>
      <c r="G115" t="s">
        <v>67</v>
      </c>
      <c r="H115" t="s">
        <v>68</v>
      </c>
    </row>
    <row r="116" spans="1:8">
      <c r="A116" t="s">
        <v>194</v>
      </c>
      <c r="B116" t="s">
        <v>49</v>
      </c>
      <c r="C116" t="s">
        <v>188</v>
      </c>
      <c r="D116" s="3">
        <v>45474</v>
      </c>
      <c r="E116">
        <v>84</v>
      </c>
      <c r="F116">
        <v>83</v>
      </c>
      <c r="G116" t="s">
        <v>67</v>
      </c>
      <c r="H116" t="s">
        <v>68</v>
      </c>
    </row>
    <row r="117" spans="1:8">
      <c r="A117" t="s">
        <v>195</v>
      </c>
      <c r="B117" t="s">
        <v>49</v>
      </c>
      <c r="C117" t="s">
        <v>188</v>
      </c>
      <c r="D117" s="3">
        <v>45505</v>
      </c>
      <c r="E117">
        <v>66</v>
      </c>
      <c r="F117">
        <v>64</v>
      </c>
      <c r="G117" t="s">
        <v>71</v>
      </c>
      <c r="H117" t="s">
        <v>68</v>
      </c>
    </row>
    <row r="118" spans="1:8">
      <c r="A118" t="s">
        <v>196</v>
      </c>
      <c r="B118" t="s">
        <v>49</v>
      </c>
      <c r="C118" t="s">
        <v>188</v>
      </c>
      <c r="D118" s="3">
        <v>45536</v>
      </c>
      <c r="E118">
        <v>75</v>
      </c>
      <c r="F118">
        <v>74</v>
      </c>
      <c r="G118" t="s">
        <v>71</v>
      </c>
      <c r="H118" t="s">
        <v>68</v>
      </c>
    </row>
    <row r="119" spans="1:8">
      <c r="A119" t="s">
        <v>197</v>
      </c>
      <c r="B119" t="s">
        <v>49</v>
      </c>
      <c r="C119" t="s">
        <v>188</v>
      </c>
      <c r="D119" s="3">
        <v>45566</v>
      </c>
      <c r="E119">
        <v>73</v>
      </c>
      <c r="F119">
        <v>72</v>
      </c>
      <c r="G119" t="s">
        <v>78</v>
      </c>
      <c r="H119" t="s">
        <v>68</v>
      </c>
    </row>
    <row r="120" spans="1:8">
      <c r="A120" t="s">
        <v>198</v>
      </c>
      <c r="B120" t="s">
        <v>49</v>
      </c>
      <c r="C120" t="s">
        <v>188</v>
      </c>
      <c r="D120" s="3">
        <v>45597</v>
      </c>
      <c r="E120">
        <v>78</v>
      </c>
      <c r="F120">
        <v>81</v>
      </c>
      <c r="G120" t="s">
        <v>78</v>
      </c>
      <c r="H120" t="s">
        <v>68</v>
      </c>
    </row>
    <row r="121" spans="1:8">
      <c r="A121" t="s">
        <v>199</v>
      </c>
      <c r="B121" t="s">
        <v>49</v>
      </c>
      <c r="C121" t="s">
        <v>188</v>
      </c>
      <c r="D121" s="3">
        <v>45627</v>
      </c>
      <c r="E121">
        <v>79</v>
      </c>
      <c r="F121">
        <v>74</v>
      </c>
      <c r="G121" t="s">
        <v>71</v>
      </c>
      <c r="H121" t="s">
        <v>68</v>
      </c>
    </row>
    <row r="122" spans="1:8">
      <c r="A122" t="s">
        <v>200</v>
      </c>
      <c r="B122" t="s">
        <v>49</v>
      </c>
      <c r="C122" t="s">
        <v>188</v>
      </c>
      <c r="D122" s="3">
        <v>45658</v>
      </c>
      <c r="E122">
        <v>100</v>
      </c>
      <c r="F122">
        <v>104</v>
      </c>
      <c r="G122" t="s">
        <v>78</v>
      </c>
      <c r="H122" t="s">
        <v>68</v>
      </c>
    </row>
    <row r="123" spans="1:8">
      <c r="A123" t="s">
        <v>201</v>
      </c>
      <c r="B123" t="s">
        <v>49</v>
      </c>
      <c r="C123" t="s">
        <v>188</v>
      </c>
      <c r="D123" s="3">
        <v>45689</v>
      </c>
      <c r="E123">
        <v>87</v>
      </c>
      <c r="F123">
        <v>82</v>
      </c>
      <c r="G123" t="s">
        <v>71</v>
      </c>
      <c r="H123" t="s">
        <v>68</v>
      </c>
    </row>
    <row r="124" spans="1:8">
      <c r="A124" t="s">
        <v>202</v>
      </c>
      <c r="B124" t="s">
        <v>49</v>
      </c>
      <c r="C124" t="s">
        <v>188</v>
      </c>
      <c r="D124" s="3">
        <v>45717</v>
      </c>
      <c r="E124">
        <v>86</v>
      </c>
      <c r="F124">
        <v>86</v>
      </c>
      <c r="G124" t="s">
        <v>73</v>
      </c>
      <c r="H124" t="s">
        <v>68</v>
      </c>
    </row>
    <row r="125" spans="1:8">
      <c r="A125" t="s">
        <v>203</v>
      </c>
      <c r="B125" t="s">
        <v>49</v>
      </c>
      <c r="C125" t="s">
        <v>188</v>
      </c>
      <c r="D125" s="3">
        <v>45748</v>
      </c>
      <c r="E125">
        <v>92</v>
      </c>
      <c r="F125">
        <v>96</v>
      </c>
      <c r="G125" t="s">
        <v>71</v>
      </c>
      <c r="H125" t="s">
        <v>68</v>
      </c>
    </row>
    <row r="126" spans="1:8">
      <c r="A126" t="s">
        <v>204</v>
      </c>
      <c r="B126" t="s">
        <v>49</v>
      </c>
      <c r="C126" t="s">
        <v>188</v>
      </c>
      <c r="D126" s="3">
        <v>45778</v>
      </c>
      <c r="E126">
        <v>88</v>
      </c>
      <c r="F126">
        <v>87</v>
      </c>
      <c r="G126" t="s">
        <v>71</v>
      </c>
      <c r="H126" t="s">
        <v>68</v>
      </c>
    </row>
    <row r="127" spans="1:8">
      <c r="A127" t="s">
        <v>205</v>
      </c>
      <c r="B127" t="s">
        <v>49</v>
      </c>
      <c r="C127" t="s">
        <v>188</v>
      </c>
      <c r="D127" s="3">
        <v>45809</v>
      </c>
      <c r="E127">
        <v>117</v>
      </c>
      <c r="F127">
        <v>118</v>
      </c>
      <c r="G127" t="s">
        <v>71</v>
      </c>
      <c r="H127" t="s">
        <v>68</v>
      </c>
    </row>
    <row r="128" spans="1:8">
      <c r="A128" t="s">
        <v>206</v>
      </c>
      <c r="B128" t="s">
        <v>207</v>
      </c>
      <c r="C128" t="s">
        <v>208</v>
      </c>
      <c r="D128" s="3">
        <v>45292</v>
      </c>
      <c r="E128">
        <v>19</v>
      </c>
      <c r="F128">
        <v>24</v>
      </c>
      <c r="G128" t="s">
        <v>67</v>
      </c>
      <c r="H128" t="s">
        <v>68</v>
      </c>
    </row>
    <row r="129" spans="1:8">
      <c r="A129" t="s">
        <v>209</v>
      </c>
      <c r="B129" t="s">
        <v>207</v>
      </c>
      <c r="C129" t="s">
        <v>208</v>
      </c>
      <c r="D129" s="3">
        <v>45323</v>
      </c>
      <c r="E129">
        <v>31</v>
      </c>
      <c r="F129">
        <v>31</v>
      </c>
      <c r="G129" t="s">
        <v>73</v>
      </c>
      <c r="H129" t="s">
        <v>68</v>
      </c>
    </row>
    <row r="130" spans="1:8">
      <c r="A130" t="s">
        <v>210</v>
      </c>
      <c r="B130" t="s">
        <v>207</v>
      </c>
      <c r="C130" t="s">
        <v>208</v>
      </c>
      <c r="D130" s="3">
        <v>45352</v>
      </c>
      <c r="E130">
        <v>67</v>
      </c>
      <c r="F130">
        <v>67</v>
      </c>
      <c r="G130" t="s">
        <v>78</v>
      </c>
      <c r="H130" t="s">
        <v>68</v>
      </c>
    </row>
    <row r="131" spans="1:8">
      <c r="A131" t="s">
        <v>211</v>
      </c>
      <c r="B131" t="s">
        <v>207</v>
      </c>
      <c r="C131" t="s">
        <v>208</v>
      </c>
      <c r="D131" s="3">
        <v>45383</v>
      </c>
      <c r="E131">
        <v>61</v>
      </c>
      <c r="F131">
        <v>66</v>
      </c>
      <c r="G131" t="s">
        <v>71</v>
      </c>
      <c r="H131" t="s">
        <v>68</v>
      </c>
    </row>
    <row r="132" spans="1:8">
      <c r="A132" t="s">
        <v>212</v>
      </c>
      <c r="B132" t="s">
        <v>207</v>
      </c>
      <c r="C132" t="s">
        <v>208</v>
      </c>
      <c r="D132" s="3">
        <v>45413</v>
      </c>
      <c r="E132">
        <v>43</v>
      </c>
      <c r="F132">
        <v>42</v>
      </c>
      <c r="G132" t="s">
        <v>73</v>
      </c>
      <c r="H132" t="s">
        <v>68</v>
      </c>
    </row>
    <row r="133" spans="1:8">
      <c r="A133" t="s">
        <v>213</v>
      </c>
      <c r="B133" t="s">
        <v>207</v>
      </c>
      <c r="C133" t="s">
        <v>208</v>
      </c>
      <c r="D133" s="3">
        <v>45444</v>
      </c>
      <c r="E133">
        <v>38</v>
      </c>
      <c r="F133">
        <v>38</v>
      </c>
      <c r="G133" t="s">
        <v>73</v>
      </c>
      <c r="H133" t="s">
        <v>68</v>
      </c>
    </row>
    <row r="134" spans="1:8">
      <c r="A134" t="s">
        <v>214</v>
      </c>
      <c r="B134" t="s">
        <v>207</v>
      </c>
      <c r="C134" t="s">
        <v>208</v>
      </c>
      <c r="D134" s="3">
        <v>45474</v>
      </c>
      <c r="E134">
        <v>30</v>
      </c>
      <c r="F134">
        <v>28</v>
      </c>
      <c r="G134" t="s">
        <v>73</v>
      </c>
      <c r="H134" t="s">
        <v>68</v>
      </c>
    </row>
    <row r="135" spans="1:8">
      <c r="A135" t="s">
        <v>215</v>
      </c>
      <c r="B135" t="s">
        <v>207</v>
      </c>
      <c r="C135" t="s">
        <v>208</v>
      </c>
      <c r="D135" s="3">
        <v>45505</v>
      </c>
      <c r="E135">
        <v>35</v>
      </c>
      <c r="F135">
        <v>40</v>
      </c>
      <c r="G135" t="s">
        <v>73</v>
      </c>
      <c r="H135" t="s">
        <v>68</v>
      </c>
    </row>
    <row r="136" spans="1:8">
      <c r="A136" t="s">
        <v>216</v>
      </c>
      <c r="B136" t="s">
        <v>207</v>
      </c>
      <c r="C136" t="s">
        <v>208</v>
      </c>
      <c r="D136" s="3">
        <v>45536</v>
      </c>
      <c r="E136">
        <v>48</v>
      </c>
      <c r="F136">
        <v>52</v>
      </c>
      <c r="G136" t="s">
        <v>78</v>
      </c>
      <c r="H136" t="s">
        <v>68</v>
      </c>
    </row>
    <row r="137" spans="1:8">
      <c r="A137" t="s">
        <v>217</v>
      </c>
      <c r="B137" t="s">
        <v>207</v>
      </c>
      <c r="C137" t="s">
        <v>208</v>
      </c>
      <c r="D137" s="3">
        <v>45566</v>
      </c>
      <c r="E137">
        <v>40</v>
      </c>
      <c r="F137">
        <v>41</v>
      </c>
      <c r="G137" t="s">
        <v>71</v>
      </c>
      <c r="H137" t="s">
        <v>68</v>
      </c>
    </row>
    <row r="138" spans="1:8">
      <c r="A138" t="s">
        <v>218</v>
      </c>
      <c r="B138" t="s">
        <v>207</v>
      </c>
      <c r="C138" t="s">
        <v>208</v>
      </c>
      <c r="D138" s="3">
        <v>45597</v>
      </c>
      <c r="E138">
        <v>54</v>
      </c>
      <c r="F138">
        <v>58</v>
      </c>
      <c r="G138" t="s">
        <v>78</v>
      </c>
      <c r="H138" t="s">
        <v>68</v>
      </c>
    </row>
    <row r="139" spans="1:8">
      <c r="A139" t="s">
        <v>219</v>
      </c>
      <c r="B139" t="s">
        <v>207</v>
      </c>
      <c r="C139" t="s">
        <v>208</v>
      </c>
      <c r="D139" s="3">
        <v>45627</v>
      </c>
      <c r="E139">
        <v>50</v>
      </c>
      <c r="F139">
        <v>52</v>
      </c>
      <c r="G139" t="s">
        <v>73</v>
      </c>
      <c r="H139" t="s">
        <v>68</v>
      </c>
    </row>
    <row r="140" spans="1:8">
      <c r="A140" t="s">
        <v>220</v>
      </c>
      <c r="B140" t="s">
        <v>207</v>
      </c>
      <c r="C140" t="s">
        <v>208</v>
      </c>
      <c r="D140" s="3">
        <v>45658</v>
      </c>
      <c r="E140">
        <v>28</v>
      </c>
      <c r="F140">
        <v>30</v>
      </c>
      <c r="G140" t="s">
        <v>67</v>
      </c>
      <c r="H140" t="s">
        <v>68</v>
      </c>
    </row>
    <row r="141" spans="1:8">
      <c r="A141" t="s">
        <v>221</v>
      </c>
      <c r="B141" t="s">
        <v>207</v>
      </c>
      <c r="C141" t="s">
        <v>208</v>
      </c>
      <c r="D141" s="3">
        <v>45689</v>
      </c>
      <c r="E141">
        <v>35</v>
      </c>
      <c r="F141">
        <v>40</v>
      </c>
      <c r="G141" t="s">
        <v>71</v>
      </c>
      <c r="H141" t="s">
        <v>68</v>
      </c>
    </row>
    <row r="142" spans="1:8">
      <c r="A142" t="s">
        <v>222</v>
      </c>
      <c r="B142" t="s">
        <v>207</v>
      </c>
      <c r="C142" t="s">
        <v>208</v>
      </c>
      <c r="D142" s="3">
        <v>45717</v>
      </c>
      <c r="E142">
        <v>53</v>
      </c>
      <c r="F142">
        <v>57</v>
      </c>
      <c r="G142" t="s">
        <v>78</v>
      </c>
      <c r="H142" t="s">
        <v>68</v>
      </c>
    </row>
    <row r="143" spans="1:8">
      <c r="A143" t="s">
        <v>223</v>
      </c>
      <c r="B143" t="s">
        <v>207</v>
      </c>
      <c r="C143" t="s">
        <v>208</v>
      </c>
      <c r="D143" s="3">
        <v>45748</v>
      </c>
      <c r="E143">
        <v>67</v>
      </c>
      <c r="F143">
        <v>63</v>
      </c>
      <c r="G143" t="s">
        <v>67</v>
      </c>
      <c r="H143" t="s">
        <v>68</v>
      </c>
    </row>
    <row r="144" spans="1:8">
      <c r="A144" t="s">
        <v>224</v>
      </c>
      <c r="B144" t="s">
        <v>207</v>
      </c>
      <c r="C144" t="s">
        <v>208</v>
      </c>
      <c r="D144" s="3">
        <v>45778</v>
      </c>
      <c r="E144">
        <v>42</v>
      </c>
      <c r="F144">
        <v>40</v>
      </c>
      <c r="G144" t="s">
        <v>67</v>
      </c>
      <c r="H144" t="s">
        <v>68</v>
      </c>
    </row>
    <row r="145" spans="1:8">
      <c r="A145" t="s">
        <v>225</v>
      </c>
      <c r="B145" t="s">
        <v>207</v>
      </c>
      <c r="C145" t="s">
        <v>208</v>
      </c>
      <c r="D145" s="3">
        <v>45809</v>
      </c>
      <c r="E145">
        <v>39</v>
      </c>
      <c r="F145">
        <v>34</v>
      </c>
      <c r="G145" t="s">
        <v>71</v>
      </c>
      <c r="H145" t="s">
        <v>68</v>
      </c>
    </row>
    <row r="146" spans="1:8">
      <c r="A146" t="s">
        <v>226</v>
      </c>
      <c r="B146" t="s">
        <v>40</v>
      </c>
      <c r="C146" t="s">
        <v>227</v>
      </c>
      <c r="D146" s="3">
        <v>45292</v>
      </c>
      <c r="E146">
        <v>251</v>
      </c>
      <c r="F146">
        <v>247</v>
      </c>
      <c r="G146" t="s">
        <v>73</v>
      </c>
      <c r="H146" t="s">
        <v>68</v>
      </c>
    </row>
    <row r="147" spans="1:8">
      <c r="A147" t="s">
        <v>228</v>
      </c>
      <c r="B147" t="s">
        <v>40</v>
      </c>
      <c r="C147" t="s">
        <v>227</v>
      </c>
      <c r="D147" s="3">
        <v>45323</v>
      </c>
      <c r="E147">
        <v>301</v>
      </c>
      <c r="F147">
        <v>302</v>
      </c>
      <c r="G147" t="s">
        <v>67</v>
      </c>
      <c r="H147" t="s">
        <v>68</v>
      </c>
    </row>
    <row r="148" spans="1:8">
      <c r="A148" t="s">
        <v>229</v>
      </c>
      <c r="B148" t="s">
        <v>40</v>
      </c>
      <c r="C148" t="s">
        <v>227</v>
      </c>
      <c r="D148" s="3">
        <v>45352</v>
      </c>
      <c r="E148">
        <v>241</v>
      </c>
      <c r="F148">
        <v>242</v>
      </c>
      <c r="G148" t="s">
        <v>67</v>
      </c>
      <c r="H148" t="s">
        <v>68</v>
      </c>
    </row>
    <row r="149" spans="1:8">
      <c r="A149" t="s">
        <v>230</v>
      </c>
      <c r="B149" t="s">
        <v>40</v>
      </c>
      <c r="C149" t="s">
        <v>227</v>
      </c>
      <c r="D149" s="3">
        <v>45383</v>
      </c>
      <c r="E149">
        <v>206</v>
      </c>
      <c r="F149">
        <v>203</v>
      </c>
      <c r="G149" t="s">
        <v>71</v>
      </c>
      <c r="H149" t="s">
        <v>68</v>
      </c>
    </row>
    <row r="150" spans="1:8">
      <c r="A150" t="s">
        <v>231</v>
      </c>
      <c r="B150" t="s">
        <v>40</v>
      </c>
      <c r="C150" t="s">
        <v>227</v>
      </c>
      <c r="D150" s="3">
        <v>45413</v>
      </c>
      <c r="E150">
        <v>319</v>
      </c>
      <c r="F150">
        <v>315</v>
      </c>
      <c r="G150" t="s">
        <v>73</v>
      </c>
      <c r="H150" t="s">
        <v>68</v>
      </c>
    </row>
    <row r="151" spans="1:8">
      <c r="A151" t="s">
        <v>232</v>
      </c>
      <c r="B151" t="s">
        <v>40</v>
      </c>
      <c r="C151" t="s">
        <v>227</v>
      </c>
      <c r="D151" s="3">
        <v>45444</v>
      </c>
      <c r="E151">
        <v>194</v>
      </c>
      <c r="F151">
        <v>192</v>
      </c>
      <c r="G151" t="s">
        <v>67</v>
      </c>
      <c r="H151" t="s">
        <v>68</v>
      </c>
    </row>
    <row r="152" spans="1:8">
      <c r="A152" t="s">
        <v>233</v>
      </c>
      <c r="B152" t="s">
        <v>40</v>
      </c>
      <c r="C152" t="s">
        <v>227</v>
      </c>
      <c r="D152" s="3">
        <v>45474</v>
      </c>
      <c r="E152">
        <v>273</v>
      </c>
      <c r="F152">
        <v>275</v>
      </c>
      <c r="G152" t="s">
        <v>71</v>
      </c>
      <c r="H152" t="s">
        <v>68</v>
      </c>
    </row>
    <row r="153" spans="1:8">
      <c r="A153" t="s">
        <v>234</v>
      </c>
      <c r="B153" t="s">
        <v>40</v>
      </c>
      <c r="C153" t="s">
        <v>227</v>
      </c>
      <c r="D153" s="3">
        <v>45505</v>
      </c>
      <c r="E153">
        <v>184</v>
      </c>
      <c r="F153">
        <v>187</v>
      </c>
      <c r="G153" t="s">
        <v>67</v>
      </c>
      <c r="H153" t="s">
        <v>68</v>
      </c>
    </row>
    <row r="154" spans="1:8">
      <c r="A154" t="s">
        <v>235</v>
      </c>
      <c r="B154" t="s">
        <v>40</v>
      </c>
      <c r="C154" t="s">
        <v>227</v>
      </c>
      <c r="D154" s="3">
        <v>45536</v>
      </c>
      <c r="E154">
        <v>269</v>
      </c>
      <c r="F154">
        <v>266</v>
      </c>
      <c r="G154" t="s">
        <v>73</v>
      </c>
      <c r="H154" t="s">
        <v>68</v>
      </c>
    </row>
    <row r="155" spans="1:8">
      <c r="A155" t="s">
        <v>236</v>
      </c>
      <c r="B155" t="s">
        <v>40</v>
      </c>
      <c r="C155" t="s">
        <v>227</v>
      </c>
      <c r="D155" s="3">
        <v>45566</v>
      </c>
      <c r="E155">
        <v>238</v>
      </c>
      <c r="F155">
        <v>243</v>
      </c>
      <c r="G155" t="s">
        <v>78</v>
      </c>
      <c r="H155" t="s">
        <v>68</v>
      </c>
    </row>
    <row r="156" spans="1:8">
      <c r="A156" t="s">
        <v>237</v>
      </c>
      <c r="B156" t="s">
        <v>40</v>
      </c>
      <c r="C156" t="s">
        <v>227</v>
      </c>
      <c r="D156" s="3">
        <v>45597</v>
      </c>
      <c r="E156">
        <v>340</v>
      </c>
      <c r="F156">
        <v>344</v>
      </c>
      <c r="G156" t="s">
        <v>73</v>
      </c>
      <c r="H156" t="s">
        <v>68</v>
      </c>
    </row>
    <row r="157" spans="1:8">
      <c r="A157" t="s">
        <v>238</v>
      </c>
      <c r="B157" t="s">
        <v>40</v>
      </c>
      <c r="C157" t="s">
        <v>227</v>
      </c>
      <c r="D157" s="3">
        <v>45627</v>
      </c>
      <c r="E157">
        <v>220</v>
      </c>
      <c r="F157">
        <v>223</v>
      </c>
      <c r="G157" t="s">
        <v>73</v>
      </c>
      <c r="H157" t="s">
        <v>68</v>
      </c>
    </row>
    <row r="158" spans="1:8">
      <c r="A158" t="s">
        <v>239</v>
      </c>
      <c r="B158" t="s">
        <v>40</v>
      </c>
      <c r="C158" t="s">
        <v>227</v>
      </c>
      <c r="D158" s="3">
        <v>45658</v>
      </c>
      <c r="E158">
        <v>309</v>
      </c>
      <c r="F158">
        <v>311</v>
      </c>
      <c r="G158" t="s">
        <v>73</v>
      </c>
      <c r="H158" t="s">
        <v>68</v>
      </c>
    </row>
    <row r="159" spans="1:8">
      <c r="A159" t="s">
        <v>240</v>
      </c>
      <c r="B159" t="s">
        <v>40</v>
      </c>
      <c r="C159" t="s">
        <v>227</v>
      </c>
      <c r="D159" s="3">
        <v>45689</v>
      </c>
      <c r="E159">
        <v>205</v>
      </c>
      <c r="F159">
        <v>204</v>
      </c>
      <c r="G159" t="s">
        <v>67</v>
      </c>
      <c r="H159" t="s">
        <v>68</v>
      </c>
    </row>
    <row r="160" spans="1:8">
      <c r="A160" t="s">
        <v>241</v>
      </c>
      <c r="B160" t="s">
        <v>40</v>
      </c>
      <c r="C160" t="s">
        <v>227</v>
      </c>
      <c r="D160" s="3">
        <v>45717</v>
      </c>
      <c r="E160">
        <v>269</v>
      </c>
      <c r="F160">
        <v>272</v>
      </c>
      <c r="G160" t="s">
        <v>73</v>
      </c>
      <c r="H160" t="s">
        <v>68</v>
      </c>
    </row>
    <row r="161" spans="1:8">
      <c r="A161" t="s">
        <v>242</v>
      </c>
      <c r="B161" t="s">
        <v>40</v>
      </c>
      <c r="C161" t="s">
        <v>227</v>
      </c>
      <c r="D161" s="3">
        <v>45748</v>
      </c>
      <c r="E161">
        <v>219</v>
      </c>
      <c r="F161">
        <v>224</v>
      </c>
      <c r="G161" t="s">
        <v>67</v>
      </c>
      <c r="H161" t="s">
        <v>68</v>
      </c>
    </row>
    <row r="162" spans="1:8">
      <c r="A162" t="s">
        <v>243</v>
      </c>
      <c r="B162" t="s">
        <v>40</v>
      </c>
      <c r="C162" t="s">
        <v>227</v>
      </c>
      <c r="D162" s="3">
        <v>45778</v>
      </c>
      <c r="E162">
        <v>247</v>
      </c>
      <c r="F162">
        <v>246</v>
      </c>
      <c r="G162" t="s">
        <v>67</v>
      </c>
      <c r="H162" t="s">
        <v>68</v>
      </c>
    </row>
    <row r="163" spans="1:8">
      <c r="A163" t="s">
        <v>244</v>
      </c>
      <c r="B163" t="s">
        <v>40</v>
      </c>
      <c r="C163" t="s">
        <v>227</v>
      </c>
      <c r="D163" s="3">
        <v>45809</v>
      </c>
      <c r="E163">
        <v>267</v>
      </c>
      <c r="F163">
        <v>266</v>
      </c>
      <c r="G163" t="s">
        <v>78</v>
      </c>
      <c r="H163" t="s">
        <v>68</v>
      </c>
    </row>
    <row r="164" spans="1:8">
      <c r="A164" t="s">
        <v>245</v>
      </c>
      <c r="B164" t="s">
        <v>246</v>
      </c>
      <c r="C164" t="s">
        <v>247</v>
      </c>
      <c r="D164" s="3">
        <v>45292</v>
      </c>
      <c r="E164">
        <v>0</v>
      </c>
      <c r="F164">
        <v>3</v>
      </c>
      <c r="G164" t="s">
        <v>71</v>
      </c>
      <c r="H164" t="s">
        <v>68</v>
      </c>
    </row>
    <row r="165" spans="1:8">
      <c r="A165" t="s">
        <v>248</v>
      </c>
      <c r="B165" t="s">
        <v>246</v>
      </c>
      <c r="C165" t="s">
        <v>247</v>
      </c>
      <c r="D165" s="3">
        <v>45323</v>
      </c>
      <c r="E165">
        <v>0</v>
      </c>
      <c r="F165">
        <v>0</v>
      </c>
      <c r="G165" t="s">
        <v>73</v>
      </c>
      <c r="H165" t="s">
        <v>68</v>
      </c>
    </row>
    <row r="166" spans="1:8">
      <c r="A166" t="s">
        <v>249</v>
      </c>
      <c r="B166" t="s">
        <v>246</v>
      </c>
      <c r="C166" t="s">
        <v>247</v>
      </c>
      <c r="D166" s="3">
        <v>45352</v>
      </c>
      <c r="E166">
        <v>112</v>
      </c>
      <c r="F166">
        <v>113</v>
      </c>
      <c r="G166" t="s">
        <v>78</v>
      </c>
      <c r="H166" t="s">
        <v>68</v>
      </c>
    </row>
    <row r="167" spans="1:8">
      <c r="A167" t="s">
        <v>250</v>
      </c>
      <c r="B167" t="s">
        <v>246</v>
      </c>
      <c r="C167" t="s">
        <v>247</v>
      </c>
      <c r="D167" s="3">
        <v>45383</v>
      </c>
      <c r="E167">
        <v>101</v>
      </c>
      <c r="F167">
        <v>102</v>
      </c>
      <c r="G167" t="s">
        <v>71</v>
      </c>
      <c r="H167" t="s">
        <v>68</v>
      </c>
    </row>
    <row r="168" spans="1:8">
      <c r="A168" t="s">
        <v>251</v>
      </c>
      <c r="B168" t="s">
        <v>246</v>
      </c>
      <c r="C168" t="s">
        <v>247</v>
      </c>
      <c r="D168" s="3">
        <v>45413</v>
      </c>
      <c r="E168">
        <v>0</v>
      </c>
      <c r="F168">
        <v>1</v>
      </c>
      <c r="G168" t="s">
        <v>73</v>
      </c>
      <c r="H168" t="s">
        <v>68</v>
      </c>
    </row>
    <row r="169" spans="1:8">
      <c r="A169" t="s">
        <v>252</v>
      </c>
      <c r="B169" t="s">
        <v>246</v>
      </c>
      <c r="C169" t="s">
        <v>247</v>
      </c>
      <c r="D169" s="3">
        <v>45444</v>
      </c>
      <c r="E169">
        <v>57</v>
      </c>
      <c r="F169">
        <v>61</v>
      </c>
      <c r="G169" t="s">
        <v>73</v>
      </c>
      <c r="H169" t="s">
        <v>68</v>
      </c>
    </row>
    <row r="170" spans="1:8">
      <c r="A170" t="s">
        <v>253</v>
      </c>
      <c r="B170" t="s">
        <v>246</v>
      </c>
      <c r="C170" t="s">
        <v>247</v>
      </c>
      <c r="D170" s="3">
        <v>45474</v>
      </c>
      <c r="E170">
        <v>82</v>
      </c>
      <c r="F170">
        <v>82</v>
      </c>
      <c r="G170" t="s">
        <v>78</v>
      </c>
      <c r="H170" t="s">
        <v>68</v>
      </c>
    </row>
    <row r="171" spans="1:8">
      <c r="A171" t="s">
        <v>254</v>
      </c>
      <c r="B171" t="s">
        <v>246</v>
      </c>
      <c r="C171" t="s">
        <v>247</v>
      </c>
      <c r="D171" s="3">
        <v>45505</v>
      </c>
      <c r="E171">
        <v>184</v>
      </c>
      <c r="F171">
        <v>185</v>
      </c>
      <c r="G171" t="s">
        <v>67</v>
      </c>
      <c r="H171" t="s">
        <v>68</v>
      </c>
    </row>
    <row r="172" spans="1:8">
      <c r="A172" t="s">
        <v>255</v>
      </c>
      <c r="B172" t="s">
        <v>246</v>
      </c>
      <c r="C172" t="s">
        <v>247</v>
      </c>
      <c r="D172" s="3">
        <v>45536</v>
      </c>
      <c r="E172">
        <v>28</v>
      </c>
      <c r="F172">
        <v>27</v>
      </c>
      <c r="G172" t="s">
        <v>73</v>
      </c>
      <c r="H172" t="s">
        <v>68</v>
      </c>
    </row>
    <row r="173" spans="1:8">
      <c r="A173" t="s">
        <v>256</v>
      </c>
      <c r="B173" t="s">
        <v>246</v>
      </c>
      <c r="C173" t="s">
        <v>247</v>
      </c>
      <c r="D173" s="3">
        <v>45566</v>
      </c>
      <c r="E173">
        <v>65</v>
      </c>
      <c r="F173">
        <v>66</v>
      </c>
      <c r="G173" t="s">
        <v>67</v>
      </c>
      <c r="H173" t="s">
        <v>68</v>
      </c>
    </row>
    <row r="174" spans="1:8">
      <c r="A174" t="s">
        <v>257</v>
      </c>
      <c r="B174" t="s">
        <v>246</v>
      </c>
      <c r="C174" t="s">
        <v>247</v>
      </c>
      <c r="D174" s="3">
        <v>45597</v>
      </c>
      <c r="E174">
        <v>160</v>
      </c>
      <c r="F174">
        <v>157</v>
      </c>
      <c r="G174" t="s">
        <v>71</v>
      </c>
      <c r="H174" t="s">
        <v>68</v>
      </c>
    </row>
    <row r="175" spans="1:8">
      <c r="A175" t="s">
        <v>258</v>
      </c>
      <c r="B175" t="s">
        <v>246</v>
      </c>
      <c r="C175" t="s">
        <v>247</v>
      </c>
      <c r="D175" s="3">
        <v>45627</v>
      </c>
      <c r="E175">
        <v>61</v>
      </c>
      <c r="F175">
        <v>57</v>
      </c>
      <c r="G175" t="s">
        <v>73</v>
      </c>
      <c r="H175" t="s">
        <v>68</v>
      </c>
    </row>
    <row r="176" spans="1:8">
      <c r="A176" t="s">
        <v>259</v>
      </c>
      <c r="B176" t="s">
        <v>246</v>
      </c>
      <c r="C176" t="s">
        <v>247</v>
      </c>
      <c r="D176" s="3">
        <v>45658</v>
      </c>
      <c r="E176">
        <v>0</v>
      </c>
      <c r="F176">
        <v>2</v>
      </c>
      <c r="G176" t="s">
        <v>67</v>
      </c>
      <c r="H176" t="s">
        <v>68</v>
      </c>
    </row>
    <row r="177" spans="1:8">
      <c r="A177" t="s">
        <v>260</v>
      </c>
      <c r="B177" t="s">
        <v>246</v>
      </c>
      <c r="C177" t="s">
        <v>247</v>
      </c>
      <c r="D177" s="3">
        <v>45689</v>
      </c>
      <c r="E177">
        <v>0</v>
      </c>
      <c r="F177">
        <v>1</v>
      </c>
      <c r="G177" t="s">
        <v>78</v>
      </c>
      <c r="H177" t="s">
        <v>68</v>
      </c>
    </row>
    <row r="178" spans="1:8">
      <c r="A178" t="s">
        <v>261</v>
      </c>
      <c r="B178" t="s">
        <v>246</v>
      </c>
      <c r="C178" t="s">
        <v>247</v>
      </c>
      <c r="D178" s="3">
        <v>45717</v>
      </c>
      <c r="E178">
        <v>0</v>
      </c>
      <c r="F178">
        <v>0</v>
      </c>
      <c r="G178" t="s">
        <v>78</v>
      </c>
      <c r="H178" t="s">
        <v>68</v>
      </c>
    </row>
    <row r="179" spans="1:8">
      <c r="A179" t="s">
        <v>262</v>
      </c>
      <c r="B179" t="s">
        <v>246</v>
      </c>
      <c r="C179" t="s">
        <v>247</v>
      </c>
      <c r="D179" s="3">
        <v>45748</v>
      </c>
      <c r="E179">
        <v>80</v>
      </c>
      <c r="F179">
        <v>81</v>
      </c>
      <c r="G179" t="s">
        <v>78</v>
      </c>
      <c r="H179" t="s">
        <v>68</v>
      </c>
    </row>
    <row r="180" spans="1:8">
      <c r="A180" t="s">
        <v>263</v>
      </c>
      <c r="B180" t="s">
        <v>246</v>
      </c>
      <c r="C180" t="s">
        <v>247</v>
      </c>
      <c r="D180" s="3">
        <v>45778</v>
      </c>
      <c r="E180">
        <v>133</v>
      </c>
      <c r="F180">
        <v>129</v>
      </c>
      <c r="G180" t="s">
        <v>73</v>
      </c>
      <c r="H180" t="s">
        <v>68</v>
      </c>
    </row>
    <row r="181" spans="1:8">
      <c r="A181" t="s">
        <v>264</v>
      </c>
      <c r="B181" t="s">
        <v>246</v>
      </c>
      <c r="C181" t="s">
        <v>247</v>
      </c>
      <c r="D181" s="3">
        <v>45809</v>
      </c>
      <c r="E181">
        <v>0</v>
      </c>
      <c r="F181">
        <v>3</v>
      </c>
      <c r="G181" t="s">
        <v>71</v>
      </c>
      <c r="H181" t="s">
        <v>68</v>
      </c>
    </row>
    <row r="182" spans="1:8">
      <c r="A182" t="s">
        <v>265</v>
      </c>
      <c r="B182" t="s">
        <v>266</v>
      </c>
      <c r="C182" t="s">
        <v>267</v>
      </c>
      <c r="D182" s="3">
        <v>45292</v>
      </c>
      <c r="E182">
        <v>22</v>
      </c>
      <c r="F182">
        <v>22</v>
      </c>
      <c r="G182" t="s">
        <v>67</v>
      </c>
      <c r="H182" t="s">
        <v>68</v>
      </c>
    </row>
    <row r="183" spans="1:8">
      <c r="A183" t="s">
        <v>268</v>
      </c>
      <c r="B183" t="s">
        <v>266</v>
      </c>
      <c r="C183" t="s">
        <v>267</v>
      </c>
      <c r="D183" s="3">
        <v>45323</v>
      </c>
      <c r="E183">
        <v>13</v>
      </c>
      <c r="F183">
        <v>8</v>
      </c>
      <c r="G183" t="s">
        <v>67</v>
      </c>
      <c r="H183" t="s">
        <v>68</v>
      </c>
    </row>
    <row r="184" spans="1:8">
      <c r="A184" t="s">
        <v>269</v>
      </c>
      <c r="B184" t="s">
        <v>266</v>
      </c>
      <c r="C184" t="s">
        <v>267</v>
      </c>
      <c r="D184" s="3">
        <v>45352</v>
      </c>
      <c r="E184">
        <v>3</v>
      </c>
      <c r="F184">
        <v>0</v>
      </c>
      <c r="G184" t="s">
        <v>67</v>
      </c>
      <c r="H184" t="s">
        <v>68</v>
      </c>
    </row>
    <row r="185" spans="1:8">
      <c r="A185" t="s">
        <v>270</v>
      </c>
      <c r="B185" t="s">
        <v>266</v>
      </c>
      <c r="C185" t="s">
        <v>267</v>
      </c>
      <c r="D185" s="3">
        <v>45383</v>
      </c>
      <c r="E185">
        <v>84</v>
      </c>
      <c r="F185">
        <v>86</v>
      </c>
      <c r="G185" t="s">
        <v>78</v>
      </c>
      <c r="H185" t="s">
        <v>68</v>
      </c>
    </row>
    <row r="186" spans="1:8">
      <c r="A186" t="s">
        <v>271</v>
      </c>
      <c r="B186" t="s">
        <v>266</v>
      </c>
      <c r="C186" t="s">
        <v>267</v>
      </c>
      <c r="D186" s="3">
        <v>45413</v>
      </c>
      <c r="E186">
        <v>69</v>
      </c>
      <c r="F186">
        <v>66</v>
      </c>
      <c r="G186" t="s">
        <v>71</v>
      </c>
      <c r="H186" t="s">
        <v>68</v>
      </c>
    </row>
    <row r="187" spans="1:8">
      <c r="A187" t="s">
        <v>272</v>
      </c>
      <c r="B187" t="s">
        <v>266</v>
      </c>
      <c r="C187" t="s">
        <v>267</v>
      </c>
      <c r="D187" s="3">
        <v>45444</v>
      </c>
      <c r="E187">
        <v>42</v>
      </c>
      <c r="F187">
        <v>46</v>
      </c>
      <c r="G187" t="s">
        <v>71</v>
      </c>
      <c r="H187" t="s">
        <v>68</v>
      </c>
    </row>
    <row r="188" spans="1:8">
      <c r="A188" t="s">
        <v>273</v>
      </c>
      <c r="B188" t="s">
        <v>266</v>
      </c>
      <c r="C188" t="s">
        <v>267</v>
      </c>
      <c r="D188" s="3">
        <v>45474</v>
      </c>
      <c r="E188">
        <v>24</v>
      </c>
      <c r="F188">
        <v>28</v>
      </c>
      <c r="G188" t="s">
        <v>73</v>
      </c>
      <c r="H188" t="s">
        <v>68</v>
      </c>
    </row>
    <row r="189" spans="1:8">
      <c r="A189" t="s">
        <v>274</v>
      </c>
      <c r="B189" t="s">
        <v>266</v>
      </c>
      <c r="C189" t="s">
        <v>267</v>
      </c>
      <c r="D189" s="3">
        <v>45505</v>
      </c>
      <c r="E189">
        <v>14</v>
      </c>
      <c r="F189">
        <v>10</v>
      </c>
      <c r="G189" t="s">
        <v>78</v>
      </c>
      <c r="H189" t="s">
        <v>68</v>
      </c>
    </row>
    <row r="190" spans="1:8">
      <c r="A190" t="s">
        <v>275</v>
      </c>
      <c r="B190" t="s">
        <v>266</v>
      </c>
      <c r="C190" t="s">
        <v>267</v>
      </c>
      <c r="D190" s="3">
        <v>45536</v>
      </c>
      <c r="E190">
        <v>64</v>
      </c>
      <c r="F190">
        <v>68</v>
      </c>
      <c r="G190" t="s">
        <v>71</v>
      </c>
      <c r="H190" t="s">
        <v>68</v>
      </c>
    </row>
    <row r="191" spans="1:8">
      <c r="A191" t="s">
        <v>276</v>
      </c>
      <c r="B191" t="s">
        <v>266</v>
      </c>
      <c r="C191" t="s">
        <v>267</v>
      </c>
      <c r="D191" s="3">
        <v>45566</v>
      </c>
      <c r="E191">
        <v>147</v>
      </c>
      <c r="F191">
        <v>152</v>
      </c>
      <c r="G191" t="s">
        <v>78</v>
      </c>
      <c r="H191" t="s">
        <v>68</v>
      </c>
    </row>
    <row r="192" spans="1:8">
      <c r="A192" t="s">
        <v>277</v>
      </c>
      <c r="B192" t="s">
        <v>266</v>
      </c>
      <c r="C192" t="s">
        <v>267</v>
      </c>
      <c r="D192" s="3">
        <v>45597</v>
      </c>
      <c r="E192">
        <v>21</v>
      </c>
      <c r="F192">
        <v>16</v>
      </c>
      <c r="G192" t="s">
        <v>73</v>
      </c>
      <c r="H192" t="s">
        <v>68</v>
      </c>
    </row>
    <row r="193" spans="1:8">
      <c r="A193" t="s">
        <v>278</v>
      </c>
      <c r="B193" t="s">
        <v>266</v>
      </c>
      <c r="C193" t="s">
        <v>267</v>
      </c>
      <c r="D193" s="3">
        <v>45627</v>
      </c>
      <c r="E193">
        <v>45</v>
      </c>
      <c r="F193">
        <v>50</v>
      </c>
      <c r="G193" t="s">
        <v>73</v>
      </c>
      <c r="H193" t="s">
        <v>68</v>
      </c>
    </row>
    <row r="194" spans="1:8">
      <c r="A194" t="s">
        <v>279</v>
      </c>
      <c r="B194" t="s">
        <v>266</v>
      </c>
      <c r="C194" t="s">
        <v>267</v>
      </c>
      <c r="D194" s="3">
        <v>45658</v>
      </c>
      <c r="E194">
        <v>28</v>
      </c>
      <c r="F194">
        <v>29</v>
      </c>
      <c r="G194" t="s">
        <v>67</v>
      </c>
      <c r="H194" t="s">
        <v>68</v>
      </c>
    </row>
    <row r="195" spans="1:8">
      <c r="A195" t="s">
        <v>280</v>
      </c>
      <c r="B195" t="s">
        <v>266</v>
      </c>
      <c r="C195" t="s">
        <v>267</v>
      </c>
      <c r="D195" s="3">
        <v>45689</v>
      </c>
      <c r="E195">
        <v>33</v>
      </c>
      <c r="F195">
        <v>36</v>
      </c>
      <c r="G195" t="s">
        <v>73</v>
      </c>
      <c r="H195" t="s">
        <v>68</v>
      </c>
    </row>
    <row r="196" spans="1:8">
      <c r="A196" t="s">
        <v>281</v>
      </c>
      <c r="B196" t="s">
        <v>266</v>
      </c>
      <c r="C196" t="s">
        <v>267</v>
      </c>
      <c r="D196" s="3">
        <v>45717</v>
      </c>
      <c r="E196">
        <v>0</v>
      </c>
      <c r="F196">
        <v>4</v>
      </c>
      <c r="G196" t="s">
        <v>78</v>
      </c>
      <c r="H196" t="s">
        <v>68</v>
      </c>
    </row>
    <row r="197" spans="1:8">
      <c r="A197" t="s">
        <v>282</v>
      </c>
      <c r="B197" t="s">
        <v>266</v>
      </c>
      <c r="C197" t="s">
        <v>267</v>
      </c>
      <c r="D197" s="3">
        <v>45748</v>
      </c>
      <c r="E197">
        <v>31</v>
      </c>
      <c r="F197">
        <v>30</v>
      </c>
      <c r="G197" t="s">
        <v>73</v>
      </c>
      <c r="H197" t="s">
        <v>68</v>
      </c>
    </row>
    <row r="198" spans="1:8">
      <c r="A198" t="s">
        <v>283</v>
      </c>
      <c r="B198" t="s">
        <v>266</v>
      </c>
      <c r="C198" t="s">
        <v>267</v>
      </c>
      <c r="D198" s="3">
        <v>45778</v>
      </c>
      <c r="E198">
        <v>57</v>
      </c>
      <c r="F198">
        <v>59</v>
      </c>
      <c r="G198" t="s">
        <v>73</v>
      </c>
      <c r="H198" t="s">
        <v>68</v>
      </c>
    </row>
    <row r="199" spans="1:8">
      <c r="A199" t="s">
        <v>284</v>
      </c>
      <c r="B199" t="s">
        <v>266</v>
      </c>
      <c r="C199" t="s">
        <v>267</v>
      </c>
      <c r="D199" s="3">
        <v>45809</v>
      </c>
      <c r="E199">
        <v>24</v>
      </c>
      <c r="F199">
        <v>26</v>
      </c>
      <c r="G199" t="s">
        <v>67</v>
      </c>
      <c r="H199" t="s">
        <v>68</v>
      </c>
    </row>
    <row r="200" spans="1:8">
      <c r="A200" t="s">
        <v>285</v>
      </c>
      <c r="B200" t="s">
        <v>286</v>
      </c>
      <c r="C200" t="s">
        <v>287</v>
      </c>
      <c r="D200" s="3">
        <v>45292</v>
      </c>
      <c r="E200">
        <v>24</v>
      </c>
      <c r="F200">
        <v>24</v>
      </c>
      <c r="G200" t="s">
        <v>78</v>
      </c>
      <c r="H200" t="s">
        <v>68</v>
      </c>
    </row>
    <row r="201" spans="1:8">
      <c r="A201" t="s">
        <v>288</v>
      </c>
      <c r="B201" t="s">
        <v>286</v>
      </c>
      <c r="C201" t="s">
        <v>287</v>
      </c>
      <c r="D201" s="3">
        <v>45323</v>
      </c>
      <c r="E201">
        <v>17</v>
      </c>
      <c r="F201">
        <v>16</v>
      </c>
      <c r="G201" t="s">
        <v>71</v>
      </c>
      <c r="H201" t="s">
        <v>68</v>
      </c>
    </row>
    <row r="202" spans="1:8">
      <c r="A202" t="s">
        <v>289</v>
      </c>
      <c r="B202" t="s">
        <v>286</v>
      </c>
      <c r="C202" t="s">
        <v>287</v>
      </c>
      <c r="D202" s="3">
        <v>45352</v>
      </c>
      <c r="E202">
        <v>26</v>
      </c>
      <c r="F202">
        <v>29</v>
      </c>
      <c r="G202" t="s">
        <v>67</v>
      </c>
      <c r="H202" t="s">
        <v>68</v>
      </c>
    </row>
    <row r="203" spans="1:8">
      <c r="A203" t="s">
        <v>290</v>
      </c>
      <c r="B203" t="s">
        <v>286</v>
      </c>
      <c r="C203" t="s">
        <v>287</v>
      </c>
      <c r="D203" s="3">
        <v>45383</v>
      </c>
      <c r="E203">
        <v>24</v>
      </c>
      <c r="F203">
        <v>26</v>
      </c>
      <c r="G203" t="s">
        <v>67</v>
      </c>
      <c r="H203" t="s">
        <v>68</v>
      </c>
    </row>
    <row r="204" spans="1:8">
      <c r="A204" t="s">
        <v>291</v>
      </c>
      <c r="B204" t="s">
        <v>286</v>
      </c>
      <c r="C204" t="s">
        <v>287</v>
      </c>
      <c r="D204" s="3">
        <v>45413</v>
      </c>
      <c r="E204">
        <v>22</v>
      </c>
      <c r="F204">
        <v>24</v>
      </c>
      <c r="G204" t="s">
        <v>73</v>
      </c>
      <c r="H204" t="s">
        <v>68</v>
      </c>
    </row>
    <row r="205" spans="1:8">
      <c r="A205" t="s">
        <v>292</v>
      </c>
      <c r="B205" t="s">
        <v>286</v>
      </c>
      <c r="C205" t="s">
        <v>287</v>
      </c>
      <c r="D205" s="3">
        <v>45444</v>
      </c>
      <c r="E205">
        <v>18</v>
      </c>
      <c r="F205">
        <v>17</v>
      </c>
      <c r="G205" t="s">
        <v>67</v>
      </c>
      <c r="H205" t="s">
        <v>68</v>
      </c>
    </row>
    <row r="206" spans="1:8">
      <c r="A206" t="s">
        <v>293</v>
      </c>
      <c r="B206" t="s">
        <v>286</v>
      </c>
      <c r="C206" t="s">
        <v>287</v>
      </c>
      <c r="D206" s="3">
        <v>45474</v>
      </c>
      <c r="E206">
        <v>19</v>
      </c>
      <c r="F206">
        <v>20</v>
      </c>
      <c r="G206" t="s">
        <v>67</v>
      </c>
      <c r="H206" t="s">
        <v>68</v>
      </c>
    </row>
    <row r="207" spans="1:8">
      <c r="A207" t="s">
        <v>294</v>
      </c>
      <c r="B207" t="s">
        <v>286</v>
      </c>
      <c r="C207" t="s">
        <v>287</v>
      </c>
      <c r="D207" s="3">
        <v>45505</v>
      </c>
      <c r="E207">
        <v>16</v>
      </c>
      <c r="F207">
        <v>18</v>
      </c>
      <c r="G207" t="s">
        <v>78</v>
      </c>
      <c r="H207" t="s">
        <v>68</v>
      </c>
    </row>
    <row r="208" spans="1:8">
      <c r="A208" t="s">
        <v>295</v>
      </c>
      <c r="B208" t="s">
        <v>286</v>
      </c>
      <c r="C208" t="s">
        <v>287</v>
      </c>
      <c r="D208" s="3">
        <v>45536</v>
      </c>
      <c r="E208">
        <v>22</v>
      </c>
      <c r="F208">
        <v>23</v>
      </c>
      <c r="G208" t="s">
        <v>78</v>
      </c>
      <c r="H208" t="s">
        <v>68</v>
      </c>
    </row>
    <row r="209" spans="1:8">
      <c r="A209" t="s">
        <v>296</v>
      </c>
      <c r="B209" t="s">
        <v>286</v>
      </c>
      <c r="C209" t="s">
        <v>287</v>
      </c>
      <c r="D209" s="3">
        <v>45566</v>
      </c>
      <c r="E209">
        <v>15</v>
      </c>
      <c r="F209">
        <v>14</v>
      </c>
      <c r="G209" t="s">
        <v>78</v>
      </c>
      <c r="H209" t="s">
        <v>68</v>
      </c>
    </row>
    <row r="210" spans="1:8">
      <c r="A210" t="s">
        <v>297</v>
      </c>
      <c r="B210" t="s">
        <v>286</v>
      </c>
      <c r="C210" t="s">
        <v>287</v>
      </c>
      <c r="D210" s="3">
        <v>45597</v>
      </c>
      <c r="E210">
        <v>19</v>
      </c>
      <c r="F210">
        <v>17</v>
      </c>
      <c r="G210" t="s">
        <v>71</v>
      </c>
      <c r="H210" t="s">
        <v>68</v>
      </c>
    </row>
    <row r="211" spans="1:8">
      <c r="A211" t="s">
        <v>298</v>
      </c>
      <c r="B211" t="s">
        <v>286</v>
      </c>
      <c r="C211" t="s">
        <v>287</v>
      </c>
      <c r="D211" s="3">
        <v>45627</v>
      </c>
      <c r="E211">
        <v>16</v>
      </c>
      <c r="F211">
        <v>19</v>
      </c>
      <c r="G211" t="s">
        <v>67</v>
      </c>
      <c r="H211" t="s">
        <v>68</v>
      </c>
    </row>
    <row r="212" spans="1:8">
      <c r="A212" t="s">
        <v>299</v>
      </c>
      <c r="B212" t="s">
        <v>286</v>
      </c>
      <c r="C212" t="s">
        <v>287</v>
      </c>
      <c r="D212" s="3">
        <v>45658</v>
      </c>
      <c r="E212">
        <v>13</v>
      </c>
      <c r="F212">
        <v>11</v>
      </c>
      <c r="G212" t="s">
        <v>67</v>
      </c>
      <c r="H212" t="s">
        <v>68</v>
      </c>
    </row>
    <row r="213" spans="1:8">
      <c r="A213" t="s">
        <v>300</v>
      </c>
      <c r="B213" t="s">
        <v>286</v>
      </c>
      <c r="C213" t="s">
        <v>287</v>
      </c>
      <c r="D213" s="3">
        <v>45689</v>
      </c>
      <c r="E213">
        <v>15</v>
      </c>
      <c r="F213">
        <v>19</v>
      </c>
      <c r="G213" t="s">
        <v>78</v>
      </c>
      <c r="H213" t="s">
        <v>68</v>
      </c>
    </row>
    <row r="214" spans="1:8">
      <c r="A214" t="s">
        <v>301</v>
      </c>
      <c r="B214" t="s">
        <v>286</v>
      </c>
      <c r="C214" t="s">
        <v>287</v>
      </c>
      <c r="D214" s="3">
        <v>45717</v>
      </c>
      <c r="E214">
        <v>12</v>
      </c>
      <c r="F214">
        <v>8</v>
      </c>
      <c r="G214" t="s">
        <v>67</v>
      </c>
      <c r="H214" t="s">
        <v>68</v>
      </c>
    </row>
    <row r="215" spans="1:8">
      <c r="A215" t="s">
        <v>302</v>
      </c>
      <c r="B215" t="s">
        <v>286</v>
      </c>
      <c r="C215" t="s">
        <v>287</v>
      </c>
      <c r="D215" s="3">
        <v>45748</v>
      </c>
      <c r="E215">
        <v>13</v>
      </c>
      <c r="F215">
        <v>12</v>
      </c>
      <c r="G215" t="s">
        <v>71</v>
      </c>
      <c r="H215" t="s">
        <v>68</v>
      </c>
    </row>
    <row r="216" spans="1:8">
      <c r="A216" t="s">
        <v>303</v>
      </c>
      <c r="B216" t="s">
        <v>286</v>
      </c>
      <c r="C216" t="s">
        <v>287</v>
      </c>
      <c r="D216" s="3">
        <v>45778</v>
      </c>
      <c r="E216">
        <v>17</v>
      </c>
      <c r="F216">
        <v>20</v>
      </c>
      <c r="G216" t="s">
        <v>67</v>
      </c>
      <c r="H216" t="s">
        <v>68</v>
      </c>
    </row>
    <row r="217" spans="1:8">
      <c r="A217" t="s">
        <v>304</v>
      </c>
      <c r="B217" t="s">
        <v>286</v>
      </c>
      <c r="C217" t="s">
        <v>287</v>
      </c>
      <c r="D217" s="3">
        <v>45809</v>
      </c>
      <c r="E217">
        <v>12</v>
      </c>
      <c r="F217">
        <v>15</v>
      </c>
      <c r="G217" t="s">
        <v>78</v>
      </c>
      <c r="H217" t="s">
        <v>68</v>
      </c>
    </row>
    <row r="218" spans="1:8">
      <c r="A218" t="s">
        <v>305</v>
      </c>
      <c r="B218" t="s">
        <v>306</v>
      </c>
      <c r="C218" t="s">
        <v>307</v>
      </c>
      <c r="D218" s="3">
        <v>45292</v>
      </c>
      <c r="E218">
        <v>14</v>
      </c>
      <c r="F218">
        <v>11</v>
      </c>
      <c r="G218" t="s">
        <v>73</v>
      </c>
      <c r="H218" t="s">
        <v>68</v>
      </c>
    </row>
    <row r="219" spans="1:8">
      <c r="A219" t="s">
        <v>308</v>
      </c>
      <c r="B219" t="s">
        <v>306</v>
      </c>
      <c r="C219" t="s">
        <v>307</v>
      </c>
      <c r="D219" s="3">
        <v>45323</v>
      </c>
      <c r="E219">
        <v>7</v>
      </c>
      <c r="F219">
        <v>6</v>
      </c>
      <c r="G219" t="s">
        <v>73</v>
      </c>
      <c r="H219" t="s">
        <v>68</v>
      </c>
    </row>
    <row r="220" spans="1:8">
      <c r="A220" t="s">
        <v>309</v>
      </c>
      <c r="B220" t="s">
        <v>306</v>
      </c>
      <c r="C220" t="s">
        <v>307</v>
      </c>
      <c r="D220" s="3">
        <v>45352</v>
      </c>
      <c r="E220">
        <v>7</v>
      </c>
      <c r="F220">
        <v>9</v>
      </c>
      <c r="G220" t="s">
        <v>73</v>
      </c>
      <c r="H220" t="s">
        <v>68</v>
      </c>
    </row>
    <row r="221" spans="1:8">
      <c r="A221" t="s">
        <v>310</v>
      </c>
      <c r="B221" t="s">
        <v>306</v>
      </c>
      <c r="C221" t="s">
        <v>307</v>
      </c>
      <c r="D221" s="3">
        <v>45383</v>
      </c>
      <c r="E221">
        <v>2</v>
      </c>
      <c r="F221">
        <v>1</v>
      </c>
      <c r="G221" t="s">
        <v>73</v>
      </c>
      <c r="H221" t="s">
        <v>68</v>
      </c>
    </row>
    <row r="222" spans="1:8">
      <c r="A222" t="s">
        <v>311</v>
      </c>
      <c r="B222" t="s">
        <v>306</v>
      </c>
      <c r="C222" t="s">
        <v>307</v>
      </c>
      <c r="D222" s="3">
        <v>45413</v>
      </c>
      <c r="E222">
        <v>13</v>
      </c>
      <c r="F222">
        <v>9</v>
      </c>
      <c r="G222" t="s">
        <v>71</v>
      </c>
      <c r="H222" t="s">
        <v>68</v>
      </c>
    </row>
    <row r="223" spans="1:8">
      <c r="A223" t="s">
        <v>312</v>
      </c>
      <c r="B223" t="s">
        <v>306</v>
      </c>
      <c r="C223" t="s">
        <v>307</v>
      </c>
      <c r="D223" s="3">
        <v>45444</v>
      </c>
      <c r="E223">
        <v>6</v>
      </c>
      <c r="F223">
        <v>11</v>
      </c>
      <c r="G223" t="s">
        <v>71</v>
      </c>
      <c r="H223" t="s">
        <v>68</v>
      </c>
    </row>
    <row r="224" spans="1:8">
      <c r="A224" t="s">
        <v>313</v>
      </c>
      <c r="B224" t="s">
        <v>306</v>
      </c>
      <c r="C224" t="s">
        <v>307</v>
      </c>
      <c r="D224" s="3">
        <v>45474</v>
      </c>
      <c r="E224">
        <v>8</v>
      </c>
      <c r="F224">
        <v>5</v>
      </c>
      <c r="G224" t="s">
        <v>67</v>
      </c>
      <c r="H224" t="s">
        <v>68</v>
      </c>
    </row>
    <row r="225" spans="1:8">
      <c r="A225" t="s">
        <v>314</v>
      </c>
      <c r="B225" t="s">
        <v>306</v>
      </c>
      <c r="C225" t="s">
        <v>307</v>
      </c>
      <c r="D225" s="3">
        <v>45505</v>
      </c>
      <c r="E225">
        <v>10</v>
      </c>
      <c r="F225">
        <v>6</v>
      </c>
      <c r="G225" t="s">
        <v>67</v>
      </c>
      <c r="H225" t="s">
        <v>68</v>
      </c>
    </row>
    <row r="226" spans="1:8">
      <c r="A226" t="s">
        <v>315</v>
      </c>
      <c r="B226" t="s">
        <v>306</v>
      </c>
      <c r="C226" t="s">
        <v>307</v>
      </c>
      <c r="D226" s="3">
        <v>45536</v>
      </c>
      <c r="E226">
        <v>1</v>
      </c>
      <c r="F226">
        <v>0</v>
      </c>
      <c r="G226" t="s">
        <v>73</v>
      </c>
      <c r="H226" t="s">
        <v>68</v>
      </c>
    </row>
    <row r="227" spans="1:8">
      <c r="A227" t="s">
        <v>316</v>
      </c>
      <c r="B227" t="s">
        <v>306</v>
      </c>
      <c r="C227" t="s">
        <v>307</v>
      </c>
      <c r="D227" s="3">
        <v>45566</v>
      </c>
      <c r="E227">
        <v>4</v>
      </c>
      <c r="F227">
        <v>2</v>
      </c>
      <c r="G227" t="s">
        <v>73</v>
      </c>
      <c r="H227" t="s">
        <v>68</v>
      </c>
    </row>
    <row r="228" spans="1:8">
      <c r="A228" t="s">
        <v>317</v>
      </c>
      <c r="B228" t="s">
        <v>306</v>
      </c>
      <c r="C228" t="s">
        <v>307</v>
      </c>
      <c r="D228" s="3">
        <v>45597</v>
      </c>
      <c r="E228">
        <v>5</v>
      </c>
      <c r="F228">
        <v>7</v>
      </c>
      <c r="G228" t="s">
        <v>73</v>
      </c>
      <c r="H228" t="s">
        <v>68</v>
      </c>
    </row>
    <row r="229" spans="1:8">
      <c r="A229" t="s">
        <v>318</v>
      </c>
      <c r="B229" t="s">
        <v>306</v>
      </c>
      <c r="C229" t="s">
        <v>307</v>
      </c>
      <c r="D229" s="3">
        <v>45627</v>
      </c>
      <c r="E229">
        <v>7</v>
      </c>
      <c r="F229">
        <v>8</v>
      </c>
      <c r="G229" t="s">
        <v>78</v>
      </c>
      <c r="H229" t="s">
        <v>68</v>
      </c>
    </row>
    <row r="230" spans="1:8">
      <c r="A230" t="s">
        <v>319</v>
      </c>
      <c r="B230" t="s">
        <v>306</v>
      </c>
      <c r="C230" t="s">
        <v>307</v>
      </c>
      <c r="D230" s="3">
        <v>45658</v>
      </c>
      <c r="E230">
        <v>13</v>
      </c>
      <c r="F230">
        <v>17</v>
      </c>
      <c r="G230" t="s">
        <v>71</v>
      </c>
      <c r="H230" t="s">
        <v>68</v>
      </c>
    </row>
    <row r="231" spans="1:8">
      <c r="A231" t="s">
        <v>320</v>
      </c>
      <c r="B231" t="s">
        <v>306</v>
      </c>
      <c r="C231" t="s">
        <v>307</v>
      </c>
      <c r="D231" s="3">
        <v>45689</v>
      </c>
      <c r="E231">
        <v>5</v>
      </c>
      <c r="F231">
        <v>3</v>
      </c>
      <c r="G231" t="s">
        <v>67</v>
      </c>
      <c r="H231" t="s">
        <v>68</v>
      </c>
    </row>
    <row r="232" spans="1:8">
      <c r="A232" t="s">
        <v>321</v>
      </c>
      <c r="B232" t="s">
        <v>306</v>
      </c>
      <c r="C232" t="s">
        <v>307</v>
      </c>
      <c r="D232" s="3">
        <v>45717</v>
      </c>
      <c r="E232">
        <v>6</v>
      </c>
      <c r="F232">
        <v>5</v>
      </c>
      <c r="G232" t="s">
        <v>71</v>
      </c>
      <c r="H232" t="s">
        <v>68</v>
      </c>
    </row>
    <row r="233" spans="1:8">
      <c r="A233" t="s">
        <v>322</v>
      </c>
      <c r="B233" t="s">
        <v>306</v>
      </c>
      <c r="C233" t="s">
        <v>307</v>
      </c>
      <c r="D233" s="3">
        <v>45748</v>
      </c>
      <c r="E233">
        <v>11</v>
      </c>
      <c r="F233">
        <v>7</v>
      </c>
      <c r="G233" t="s">
        <v>67</v>
      </c>
      <c r="H233" t="s">
        <v>68</v>
      </c>
    </row>
    <row r="234" spans="1:8">
      <c r="A234" t="s">
        <v>323</v>
      </c>
      <c r="B234" t="s">
        <v>306</v>
      </c>
      <c r="C234" t="s">
        <v>307</v>
      </c>
      <c r="D234" s="3">
        <v>45778</v>
      </c>
      <c r="E234">
        <v>11</v>
      </c>
      <c r="F234">
        <v>6</v>
      </c>
      <c r="G234" t="s">
        <v>73</v>
      </c>
      <c r="H234" t="s">
        <v>68</v>
      </c>
    </row>
    <row r="235" spans="1:8">
      <c r="A235" t="s">
        <v>324</v>
      </c>
      <c r="B235" t="s">
        <v>306</v>
      </c>
      <c r="C235" t="s">
        <v>307</v>
      </c>
      <c r="D235" s="3">
        <v>45809</v>
      </c>
      <c r="E235">
        <v>6</v>
      </c>
      <c r="F235">
        <v>5</v>
      </c>
      <c r="G235" t="s">
        <v>71</v>
      </c>
      <c r="H235" t="s">
        <v>68</v>
      </c>
    </row>
    <row r="236" spans="1:8">
      <c r="A236" t="s">
        <v>325</v>
      </c>
      <c r="B236" t="s">
        <v>53</v>
      </c>
      <c r="C236" t="s">
        <v>326</v>
      </c>
      <c r="D236" s="3">
        <v>45292</v>
      </c>
      <c r="E236">
        <v>45</v>
      </c>
      <c r="F236">
        <v>43</v>
      </c>
      <c r="G236" t="s">
        <v>78</v>
      </c>
      <c r="H236" t="s">
        <v>68</v>
      </c>
    </row>
    <row r="237" spans="1:8">
      <c r="A237" t="s">
        <v>327</v>
      </c>
      <c r="B237" t="s">
        <v>53</v>
      </c>
      <c r="C237" t="s">
        <v>326</v>
      </c>
      <c r="D237" s="3">
        <v>45323</v>
      </c>
      <c r="E237">
        <v>37</v>
      </c>
      <c r="F237">
        <v>39</v>
      </c>
      <c r="G237" t="s">
        <v>71</v>
      </c>
      <c r="H237" t="s">
        <v>68</v>
      </c>
    </row>
    <row r="238" spans="1:8">
      <c r="A238" t="s">
        <v>328</v>
      </c>
      <c r="B238" t="s">
        <v>53</v>
      </c>
      <c r="C238" t="s">
        <v>326</v>
      </c>
      <c r="D238" s="3">
        <v>45352</v>
      </c>
      <c r="E238">
        <v>53</v>
      </c>
      <c r="F238">
        <v>58</v>
      </c>
      <c r="G238" t="s">
        <v>67</v>
      </c>
      <c r="H238" t="s">
        <v>68</v>
      </c>
    </row>
    <row r="239" spans="1:8">
      <c r="A239" t="s">
        <v>329</v>
      </c>
      <c r="B239" t="s">
        <v>53</v>
      </c>
      <c r="C239" t="s">
        <v>326</v>
      </c>
      <c r="D239" s="3">
        <v>45383</v>
      </c>
      <c r="E239">
        <v>84</v>
      </c>
      <c r="F239">
        <v>89</v>
      </c>
      <c r="G239" t="s">
        <v>67</v>
      </c>
      <c r="H239" t="s">
        <v>68</v>
      </c>
    </row>
    <row r="240" spans="1:8">
      <c r="A240" t="s">
        <v>330</v>
      </c>
      <c r="B240" t="s">
        <v>53</v>
      </c>
      <c r="C240" t="s">
        <v>326</v>
      </c>
      <c r="D240" s="3">
        <v>45413</v>
      </c>
      <c r="E240">
        <v>46</v>
      </c>
      <c r="F240">
        <v>47</v>
      </c>
      <c r="G240" t="s">
        <v>71</v>
      </c>
      <c r="H240" t="s">
        <v>68</v>
      </c>
    </row>
    <row r="241" spans="1:8">
      <c r="A241" t="s">
        <v>331</v>
      </c>
      <c r="B241" t="s">
        <v>53</v>
      </c>
      <c r="C241" t="s">
        <v>326</v>
      </c>
      <c r="D241" s="3">
        <v>45444</v>
      </c>
      <c r="E241">
        <v>41</v>
      </c>
      <c r="F241">
        <v>40</v>
      </c>
      <c r="G241" t="s">
        <v>67</v>
      </c>
      <c r="H241" t="s">
        <v>68</v>
      </c>
    </row>
    <row r="242" spans="1:8">
      <c r="A242" t="s">
        <v>332</v>
      </c>
      <c r="B242" t="s">
        <v>53</v>
      </c>
      <c r="C242" t="s">
        <v>326</v>
      </c>
      <c r="D242" s="3">
        <v>45474</v>
      </c>
      <c r="E242">
        <v>37</v>
      </c>
      <c r="F242">
        <v>33</v>
      </c>
      <c r="G242" t="s">
        <v>71</v>
      </c>
      <c r="H242" t="s">
        <v>68</v>
      </c>
    </row>
    <row r="243" spans="1:8">
      <c r="A243" t="s">
        <v>333</v>
      </c>
      <c r="B243" t="s">
        <v>53</v>
      </c>
      <c r="C243" t="s">
        <v>326</v>
      </c>
      <c r="D243" s="3">
        <v>45505</v>
      </c>
      <c r="E243">
        <v>59</v>
      </c>
      <c r="F243">
        <v>63</v>
      </c>
      <c r="G243" t="s">
        <v>78</v>
      </c>
      <c r="H243" t="s">
        <v>68</v>
      </c>
    </row>
    <row r="244" spans="1:8">
      <c r="A244" t="s">
        <v>334</v>
      </c>
      <c r="B244" t="s">
        <v>53</v>
      </c>
      <c r="C244" t="s">
        <v>326</v>
      </c>
      <c r="D244" s="3">
        <v>45536</v>
      </c>
      <c r="E244">
        <v>76</v>
      </c>
      <c r="F244">
        <v>78</v>
      </c>
      <c r="G244" t="s">
        <v>71</v>
      </c>
      <c r="H244" t="s">
        <v>68</v>
      </c>
    </row>
    <row r="245" spans="1:8">
      <c r="A245" t="s">
        <v>335</v>
      </c>
      <c r="B245" t="s">
        <v>53</v>
      </c>
      <c r="C245" t="s">
        <v>326</v>
      </c>
      <c r="D245" s="3">
        <v>45566</v>
      </c>
      <c r="E245">
        <v>60</v>
      </c>
      <c r="F245">
        <v>61</v>
      </c>
      <c r="G245" t="s">
        <v>78</v>
      </c>
      <c r="H245" t="s">
        <v>68</v>
      </c>
    </row>
    <row r="246" spans="1:8">
      <c r="A246" t="s">
        <v>336</v>
      </c>
      <c r="B246" t="s">
        <v>53</v>
      </c>
      <c r="C246" t="s">
        <v>326</v>
      </c>
      <c r="D246" s="3">
        <v>45597</v>
      </c>
      <c r="E246">
        <v>70</v>
      </c>
      <c r="F246">
        <v>73</v>
      </c>
      <c r="G246" t="s">
        <v>73</v>
      </c>
      <c r="H246" t="s">
        <v>68</v>
      </c>
    </row>
    <row r="247" spans="1:8">
      <c r="A247" t="s">
        <v>337</v>
      </c>
      <c r="B247" t="s">
        <v>53</v>
      </c>
      <c r="C247" t="s">
        <v>326</v>
      </c>
      <c r="D247" s="3">
        <v>45627</v>
      </c>
      <c r="E247">
        <v>42</v>
      </c>
      <c r="F247">
        <v>43</v>
      </c>
      <c r="G247" t="s">
        <v>78</v>
      </c>
      <c r="H247" t="s">
        <v>68</v>
      </c>
    </row>
    <row r="248" spans="1:8">
      <c r="A248" t="s">
        <v>338</v>
      </c>
      <c r="B248" t="s">
        <v>53</v>
      </c>
      <c r="C248" t="s">
        <v>326</v>
      </c>
      <c r="D248" s="3">
        <v>45658</v>
      </c>
      <c r="E248">
        <v>46</v>
      </c>
      <c r="F248">
        <v>50</v>
      </c>
      <c r="G248" t="s">
        <v>78</v>
      </c>
      <c r="H248" t="s">
        <v>68</v>
      </c>
    </row>
    <row r="249" spans="1:8">
      <c r="A249" t="s">
        <v>339</v>
      </c>
      <c r="B249" t="s">
        <v>53</v>
      </c>
      <c r="C249" t="s">
        <v>326</v>
      </c>
      <c r="D249" s="3">
        <v>45689</v>
      </c>
      <c r="E249">
        <v>48</v>
      </c>
      <c r="F249">
        <v>53</v>
      </c>
      <c r="G249" t="s">
        <v>71</v>
      </c>
      <c r="H249" t="s">
        <v>68</v>
      </c>
    </row>
    <row r="250" spans="1:8">
      <c r="A250" t="s">
        <v>340</v>
      </c>
      <c r="B250" t="s">
        <v>53</v>
      </c>
      <c r="C250" t="s">
        <v>326</v>
      </c>
      <c r="D250" s="3">
        <v>45717</v>
      </c>
      <c r="E250">
        <v>69</v>
      </c>
      <c r="F250">
        <v>74</v>
      </c>
      <c r="G250" t="s">
        <v>78</v>
      </c>
      <c r="H250" t="s">
        <v>68</v>
      </c>
    </row>
    <row r="251" spans="1:8">
      <c r="A251" t="s">
        <v>341</v>
      </c>
      <c r="B251" t="s">
        <v>53</v>
      </c>
      <c r="C251" t="s">
        <v>326</v>
      </c>
      <c r="D251" s="3">
        <v>45748</v>
      </c>
      <c r="E251">
        <v>53</v>
      </c>
      <c r="F251">
        <v>50</v>
      </c>
      <c r="G251" t="s">
        <v>73</v>
      </c>
      <c r="H251" t="s">
        <v>68</v>
      </c>
    </row>
    <row r="252" spans="1:8">
      <c r="A252" t="s">
        <v>342</v>
      </c>
      <c r="B252" t="s">
        <v>343</v>
      </c>
      <c r="C252" t="s">
        <v>326</v>
      </c>
      <c r="D252" s="3">
        <v>45778</v>
      </c>
      <c r="E252">
        <v>47</v>
      </c>
      <c r="F252">
        <v>50</v>
      </c>
      <c r="G252" t="s">
        <v>73</v>
      </c>
      <c r="H252" t="s">
        <v>68</v>
      </c>
    </row>
    <row r="253" spans="1:8">
      <c r="A253" t="s">
        <v>344</v>
      </c>
      <c r="B253" t="s">
        <v>53</v>
      </c>
      <c r="C253" t="s">
        <v>326</v>
      </c>
      <c r="D253" s="3">
        <v>45809</v>
      </c>
      <c r="E253">
        <v>60</v>
      </c>
      <c r="F253">
        <v>64</v>
      </c>
      <c r="G253" t="s">
        <v>73</v>
      </c>
      <c r="H253" t="s">
        <v>68</v>
      </c>
    </row>
    <row r="254" spans="1:8">
      <c r="A254" t="s">
        <v>345</v>
      </c>
      <c r="B254" t="s">
        <v>55</v>
      </c>
      <c r="C254" t="s">
        <v>346</v>
      </c>
      <c r="D254" s="3">
        <v>45292</v>
      </c>
      <c r="E254">
        <v>47</v>
      </c>
      <c r="F254">
        <v>52</v>
      </c>
      <c r="G254" t="s">
        <v>73</v>
      </c>
      <c r="H254" t="s">
        <v>68</v>
      </c>
    </row>
    <row r="255" spans="1:8">
      <c r="A255" t="s">
        <v>347</v>
      </c>
      <c r="B255" t="s">
        <v>55</v>
      </c>
      <c r="C255" t="s">
        <v>346</v>
      </c>
      <c r="D255" s="3">
        <v>45323</v>
      </c>
      <c r="E255">
        <v>59</v>
      </c>
      <c r="F255">
        <v>60</v>
      </c>
      <c r="G255" t="s">
        <v>78</v>
      </c>
      <c r="H255" t="s">
        <v>68</v>
      </c>
    </row>
    <row r="256" spans="1:8">
      <c r="A256" t="s">
        <v>348</v>
      </c>
      <c r="B256" t="s">
        <v>55</v>
      </c>
      <c r="C256" t="s">
        <v>346</v>
      </c>
      <c r="D256" s="3">
        <v>45352</v>
      </c>
      <c r="E256">
        <v>48</v>
      </c>
      <c r="F256">
        <v>48</v>
      </c>
      <c r="G256" t="s">
        <v>71</v>
      </c>
      <c r="H256" t="s">
        <v>68</v>
      </c>
    </row>
    <row r="257" spans="1:8">
      <c r="A257" t="s">
        <v>349</v>
      </c>
      <c r="B257" t="s">
        <v>55</v>
      </c>
      <c r="C257" t="s">
        <v>346</v>
      </c>
      <c r="D257" s="3">
        <v>45383</v>
      </c>
      <c r="E257">
        <v>55</v>
      </c>
      <c r="F257">
        <v>57</v>
      </c>
      <c r="G257" t="s">
        <v>78</v>
      </c>
      <c r="H257" t="s">
        <v>68</v>
      </c>
    </row>
    <row r="258" spans="1:8">
      <c r="A258" t="s">
        <v>350</v>
      </c>
      <c r="B258" t="s">
        <v>55</v>
      </c>
      <c r="C258" t="s">
        <v>346</v>
      </c>
      <c r="D258" s="3">
        <v>45413</v>
      </c>
      <c r="E258">
        <v>43</v>
      </c>
      <c r="F258">
        <v>48</v>
      </c>
      <c r="G258" t="s">
        <v>73</v>
      </c>
      <c r="H258" t="s">
        <v>68</v>
      </c>
    </row>
    <row r="259" spans="1:8">
      <c r="A259" t="s">
        <v>351</v>
      </c>
      <c r="B259" t="s">
        <v>55</v>
      </c>
      <c r="C259" t="s">
        <v>346</v>
      </c>
      <c r="D259" s="3">
        <v>45444</v>
      </c>
      <c r="E259">
        <v>54</v>
      </c>
      <c r="F259">
        <v>56</v>
      </c>
      <c r="G259" t="s">
        <v>71</v>
      </c>
      <c r="H259" t="s">
        <v>68</v>
      </c>
    </row>
    <row r="260" spans="1:8">
      <c r="A260" t="s">
        <v>352</v>
      </c>
      <c r="B260" t="s">
        <v>55</v>
      </c>
      <c r="C260" t="s">
        <v>346</v>
      </c>
      <c r="D260" s="3">
        <v>45474</v>
      </c>
      <c r="E260">
        <v>39</v>
      </c>
      <c r="F260">
        <v>39</v>
      </c>
      <c r="G260" t="s">
        <v>78</v>
      </c>
      <c r="H260" t="s">
        <v>68</v>
      </c>
    </row>
    <row r="261" spans="1:8">
      <c r="A261" t="s">
        <v>353</v>
      </c>
      <c r="B261" t="s">
        <v>55</v>
      </c>
      <c r="C261" t="s">
        <v>346</v>
      </c>
      <c r="D261" s="3">
        <v>45505</v>
      </c>
      <c r="E261">
        <v>39</v>
      </c>
      <c r="F261">
        <v>40</v>
      </c>
      <c r="G261" t="s">
        <v>71</v>
      </c>
      <c r="H261" t="s">
        <v>68</v>
      </c>
    </row>
    <row r="262" spans="1:8">
      <c r="A262" t="s">
        <v>354</v>
      </c>
      <c r="B262" t="s">
        <v>55</v>
      </c>
      <c r="C262" t="s">
        <v>346</v>
      </c>
      <c r="D262" s="3">
        <v>45536</v>
      </c>
      <c r="E262">
        <v>71</v>
      </c>
      <c r="F262">
        <v>76</v>
      </c>
      <c r="G262" t="s">
        <v>73</v>
      </c>
      <c r="H262" t="s">
        <v>68</v>
      </c>
    </row>
    <row r="263" spans="1:8">
      <c r="A263" t="s">
        <v>355</v>
      </c>
      <c r="B263" t="s">
        <v>55</v>
      </c>
      <c r="C263" t="s">
        <v>346</v>
      </c>
      <c r="D263" s="3">
        <v>45566</v>
      </c>
      <c r="E263">
        <v>45</v>
      </c>
      <c r="F263">
        <v>45</v>
      </c>
      <c r="G263" t="s">
        <v>73</v>
      </c>
      <c r="H263" t="s">
        <v>68</v>
      </c>
    </row>
    <row r="264" spans="1:8">
      <c r="A264" t="s">
        <v>356</v>
      </c>
      <c r="B264" t="s">
        <v>55</v>
      </c>
      <c r="C264" t="s">
        <v>346</v>
      </c>
      <c r="D264" s="3">
        <v>45597</v>
      </c>
      <c r="E264">
        <v>53</v>
      </c>
      <c r="F264">
        <v>58</v>
      </c>
      <c r="G264" t="s">
        <v>73</v>
      </c>
      <c r="H264" t="s">
        <v>68</v>
      </c>
    </row>
    <row r="265" spans="1:8">
      <c r="A265" t="s">
        <v>357</v>
      </c>
      <c r="B265" t="s">
        <v>55</v>
      </c>
      <c r="C265" t="s">
        <v>346</v>
      </c>
      <c r="D265" s="3">
        <v>45627</v>
      </c>
      <c r="E265">
        <v>50</v>
      </c>
      <c r="F265">
        <v>53</v>
      </c>
      <c r="G265" t="s">
        <v>67</v>
      </c>
      <c r="H265" t="s">
        <v>68</v>
      </c>
    </row>
    <row r="266" spans="1:8">
      <c r="A266" t="s">
        <v>358</v>
      </c>
      <c r="B266" t="s">
        <v>55</v>
      </c>
      <c r="C266" t="s">
        <v>346</v>
      </c>
      <c r="D266" s="3">
        <v>45658</v>
      </c>
      <c r="E266">
        <v>43</v>
      </c>
      <c r="F266">
        <v>42</v>
      </c>
      <c r="G266" t="s">
        <v>73</v>
      </c>
      <c r="H266" t="s">
        <v>68</v>
      </c>
    </row>
    <row r="267" spans="1:8">
      <c r="A267" t="s">
        <v>359</v>
      </c>
      <c r="B267" t="s">
        <v>55</v>
      </c>
      <c r="C267" t="s">
        <v>346</v>
      </c>
      <c r="D267" s="3">
        <v>45689</v>
      </c>
      <c r="E267">
        <v>57</v>
      </c>
      <c r="F267">
        <v>52</v>
      </c>
      <c r="G267" t="s">
        <v>67</v>
      </c>
      <c r="H267" t="s">
        <v>68</v>
      </c>
    </row>
    <row r="268" spans="1:8">
      <c r="A268" t="s">
        <v>360</v>
      </c>
      <c r="B268" t="s">
        <v>55</v>
      </c>
      <c r="C268" t="s">
        <v>346</v>
      </c>
      <c r="D268" s="3">
        <v>45717</v>
      </c>
      <c r="E268">
        <v>42</v>
      </c>
      <c r="F268">
        <v>39</v>
      </c>
      <c r="G268" t="s">
        <v>78</v>
      </c>
      <c r="H268" t="s">
        <v>68</v>
      </c>
    </row>
    <row r="269" spans="1:8">
      <c r="A269" t="s">
        <v>361</v>
      </c>
      <c r="B269" t="s">
        <v>55</v>
      </c>
      <c r="C269" t="s">
        <v>346</v>
      </c>
      <c r="D269" s="3">
        <v>45748</v>
      </c>
      <c r="E269">
        <v>39</v>
      </c>
      <c r="F269">
        <v>35</v>
      </c>
      <c r="G269" t="s">
        <v>67</v>
      </c>
      <c r="H269" t="s">
        <v>68</v>
      </c>
    </row>
    <row r="270" spans="1:8">
      <c r="A270" t="s">
        <v>362</v>
      </c>
      <c r="B270" t="s">
        <v>55</v>
      </c>
      <c r="C270" t="s">
        <v>346</v>
      </c>
      <c r="D270" s="3">
        <v>45778</v>
      </c>
      <c r="E270">
        <v>46</v>
      </c>
      <c r="F270">
        <v>42</v>
      </c>
      <c r="G270" t="s">
        <v>73</v>
      </c>
      <c r="H270" t="s">
        <v>68</v>
      </c>
    </row>
    <row r="271" spans="1:8">
      <c r="A271" t="s">
        <v>363</v>
      </c>
      <c r="B271" t="s">
        <v>55</v>
      </c>
      <c r="C271" t="s">
        <v>346</v>
      </c>
      <c r="D271" s="3">
        <v>45809</v>
      </c>
      <c r="E271">
        <v>62</v>
      </c>
      <c r="F271">
        <v>59</v>
      </c>
      <c r="G271" t="s">
        <v>73</v>
      </c>
      <c r="H271" t="s">
        <v>68</v>
      </c>
    </row>
    <row r="272" spans="1:8">
      <c r="A272" t="s">
        <v>364</v>
      </c>
      <c r="B272" t="s">
        <v>365</v>
      </c>
      <c r="C272" t="s">
        <v>366</v>
      </c>
      <c r="D272" s="3">
        <v>45292</v>
      </c>
      <c r="E272">
        <v>15</v>
      </c>
      <c r="F272">
        <v>14</v>
      </c>
      <c r="G272" t="s">
        <v>78</v>
      </c>
      <c r="H272" t="s">
        <v>68</v>
      </c>
    </row>
    <row r="273" spans="1:8">
      <c r="A273" t="s">
        <v>367</v>
      </c>
      <c r="B273" t="s">
        <v>365</v>
      </c>
      <c r="C273" t="s">
        <v>366</v>
      </c>
      <c r="D273" s="3">
        <v>45323</v>
      </c>
      <c r="E273">
        <v>11</v>
      </c>
      <c r="F273">
        <v>13</v>
      </c>
      <c r="G273" t="s">
        <v>67</v>
      </c>
      <c r="H273" t="s">
        <v>68</v>
      </c>
    </row>
    <row r="274" spans="1:8">
      <c r="A274" t="s">
        <v>368</v>
      </c>
      <c r="B274" t="s">
        <v>365</v>
      </c>
      <c r="C274" t="s">
        <v>366</v>
      </c>
      <c r="D274" s="3">
        <v>45352</v>
      </c>
      <c r="E274">
        <v>20</v>
      </c>
      <c r="F274">
        <v>24</v>
      </c>
      <c r="G274" t="s">
        <v>67</v>
      </c>
      <c r="H274" t="s">
        <v>68</v>
      </c>
    </row>
    <row r="275" spans="1:8">
      <c r="A275" t="s">
        <v>369</v>
      </c>
      <c r="B275" t="s">
        <v>365</v>
      </c>
      <c r="C275" t="s">
        <v>366</v>
      </c>
      <c r="D275" s="3">
        <v>45383</v>
      </c>
      <c r="E275">
        <v>17</v>
      </c>
      <c r="F275">
        <v>18</v>
      </c>
      <c r="G275" t="s">
        <v>78</v>
      </c>
      <c r="H275" t="s">
        <v>68</v>
      </c>
    </row>
    <row r="276" spans="1:8">
      <c r="A276" t="s">
        <v>370</v>
      </c>
      <c r="B276" t="s">
        <v>365</v>
      </c>
      <c r="C276" t="s">
        <v>366</v>
      </c>
      <c r="D276" s="3">
        <v>45413</v>
      </c>
      <c r="E276">
        <v>32</v>
      </c>
      <c r="F276">
        <v>35</v>
      </c>
      <c r="G276" t="s">
        <v>78</v>
      </c>
      <c r="H276" t="s">
        <v>68</v>
      </c>
    </row>
    <row r="277" spans="1:8">
      <c r="A277" t="s">
        <v>371</v>
      </c>
      <c r="B277" t="s">
        <v>365</v>
      </c>
      <c r="C277" t="s">
        <v>366</v>
      </c>
      <c r="D277" s="3">
        <v>45444</v>
      </c>
      <c r="E277">
        <v>18</v>
      </c>
      <c r="F277">
        <v>22</v>
      </c>
      <c r="G277" t="s">
        <v>73</v>
      </c>
      <c r="H277" t="s">
        <v>68</v>
      </c>
    </row>
    <row r="278" spans="1:8">
      <c r="A278" t="s">
        <v>372</v>
      </c>
      <c r="B278" t="s">
        <v>365</v>
      </c>
      <c r="C278" t="s">
        <v>366</v>
      </c>
      <c r="D278" s="3">
        <v>45474</v>
      </c>
      <c r="E278">
        <v>25</v>
      </c>
      <c r="F278">
        <v>27</v>
      </c>
      <c r="G278" t="s">
        <v>73</v>
      </c>
      <c r="H278" t="s">
        <v>68</v>
      </c>
    </row>
    <row r="279" spans="1:8">
      <c r="A279" t="s">
        <v>373</v>
      </c>
      <c r="B279" t="s">
        <v>365</v>
      </c>
      <c r="C279" t="s">
        <v>366</v>
      </c>
      <c r="D279" s="3">
        <v>45505</v>
      </c>
      <c r="E279">
        <v>0</v>
      </c>
      <c r="F279">
        <v>3</v>
      </c>
      <c r="G279" t="s">
        <v>73</v>
      </c>
      <c r="H279" t="s">
        <v>68</v>
      </c>
    </row>
    <row r="280" spans="1:8">
      <c r="A280" t="s">
        <v>374</v>
      </c>
      <c r="B280" t="s">
        <v>365</v>
      </c>
      <c r="C280" t="s">
        <v>366</v>
      </c>
      <c r="D280" s="3">
        <v>45536</v>
      </c>
      <c r="E280">
        <v>17</v>
      </c>
      <c r="F280">
        <v>15</v>
      </c>
      <c r="G280" t="s">
        <v>73</v>
      </c>
      <c r="H280" t="s">
        <v>68</v>
      </c>
    </row>
    <row r="281" spans="1:8">
      <c r="A281" t="s">
        <v>375</v>
      </c>
      <c r="B281" t="s">
        <v>365</v>
      </c>
      <c r="C281" t="s">
        <v>366</v>
      </c>
      <c r="D281" s="3">
        <v>45566</v>
      </c>
      <c r="E281">
        <v>0</v>
      </c>
      <c r="F281">
        <v>1</v>
      </c>
      <c r="G281" t="s">
        <v>71</v>
      </c>
      <c r="H281" t="s">
        <v>68</v>
      </c>
    </row>
    <row r="282" spans="1:8">
      <c r="A282" t="s">
        <v>376</v>
      </c>
      <c r="B282" t="s">
        <v>365</v>
      </c>
      <c r="C282" t="s">
        <v>366</v>
      </c>
      <c r="D282" s="3">
        <v>45597</v>
      </c>
      <c r="E282">
        <v>0</v>
      </c>
      <c r="F282">
        <v>2</v>
      </c>
      <c r="G282" t="s">
        <v>73</v>
      </c>
      <c r="H282" t="s">
        <v>68</v>
      </c>
    </row>
    <row r="283" spans="1:8">
      <c r="A283" t="s">
        <v>377</v>
      </c>
      <c r="B283" t="s">
        <v>365</v>
      </c>
      <c r="C283" t="s">
        <v>366</v>
      </c>
      <c r="D283" s="3">
        <v>45627</v>
      </c>
      <c r="E283">
        <v>23</v>
      </c>
      <c r="F283">
        <v>28</v>
      </c>
      <c r="G283" t="s">
        <v>67</v>
      </c>
      <c r="H283" t="s">
        <v>68</v>
      </c>
    </row>
    <row r="284" spans="1:8">
      <c r="A284" t="s">
        <v>378</v>
      </c>
      <c r="B284" t="s">
        <v>365</v>
      </c>
      <c r="C284" t="s">
        <v>366</v>
      </c>
      <c r="D284" s="3">
        <v>45658</v>
      </c>
      <c r="E284">
        <v>28</v>
      </c>
      <c r="F284">
        <v>32</v>
      </c>
      <c r="G284" t="s">
        <v>78</v>
      </c>
      <c r="H284" t="s">
        <v>68</v>
      </c>
    </row>
    <row r="285" spans="1:8">
      <c r="A285" t="s">
        <v>379</v>
      </c>
      <c r="B285" t="s">
        <v>365</v>
      </c>
      <c r="C285" t="s">
        <v>366</v>
      </c>
      <c r="D285" s="3">
        <v>45689</v>
      </c>
      <c r="E285">
        <v>21</v>
      </c>
      <c r="F285">
        <v>23</v>
      </c>
      <c r="G285" t="s">
        <v>71</v>
      </c>
      <c r="H285" t="s">
        <v>68</v>
      </c>
    </row>
    <row r="286" spans="1:8">
      <c r="A286" t="s">
        <v>380</v>
      </c>
      <c r="B286" t="s">
        <v>365</v>
      </c>
      <c r="C286" t="s">
        <v>366</v>
      </c>
      <c r="D286" s="3">
        <v>45717</v>
      </c>
      <c r="E286">
        <v>7</v>
      </c>
      <c r="F286">
        <v>8</v>
      </c>
      <c r="G286" t="s">
        <v>67</v>
      </c>
      <c r="H286" t="s">
        <v>68</v>
      </c>
    </row>
    <row r="287" spans="1:8">
      <c r="A287" t="s">
        <v>381</v>
      </c>
      <c r="B287" t="s">
        <v>365</v>
      </c>
      <c r="C287" t="s">
        <v>366</v>
      </c>
      <c r="D287" s="3">
        <v>45748</v>
      </c>
      <c r="E287">
        <v>0</v>
      </c>
      <c r="F287">
        <v>0</v>
      </c>
      <c r="G287" t="s">
        <v>78</v>
      </c>
      <c r="H287" t="s">
        <v>68</v>
      </c>
    </row>
    <row r="288" spans="1:8">
      <c r="A288" t="s">
        <v>382</v>
      </c>
      <c r="B288" t="s">
        <v>365</v>
      </c>
      <c r="C288" t="s">
        <v>366</v>
      </c>
      <c r="D288" s="3">
        <v>45778</v>
      </c>
      <c r="E288">
        <v>22</v>
      </c>
      <c r="F288">
        <v>23</v>
      </c>
      <c r="G288" t="s">
        <v>71</v>
      </c>
      <c r="H288" t="s">
        <v>68</v>
      </c>
    </row>
    <row r="289" spans="1:8">
      <c r="A289" t="s">
        <v>383</v>
      </c>
      <c r="B289" t="s">
        <v>365</v>
      </c>
      <c r="C289" t="s">
        <v>366</v>
      </c>
      <c r="D289" s="3">
        <v>45809</v>
      </c>
      <c r="E289">
        <v>28</v>
      </c>
      <c r="F289">
        <v>29</v>
      </c>
      <c r="G289" t="s">
        <v>78</v>
      </c>
      <c r="H289" t="s">
        <v>68</v>
      </c>
    </row>
    <row r="290" spans="1:8">
      <c r="A290" t="s">
        <v>384</v>
      </c>
      <c r="B290" t="s">
        <v>385</v>
      </c>
      <c r="C290" t="s">
        <v>386</v>
      </c>
      <c r="D290" s="3">
        <v>45292</v>
      </c>
      <c r="E290">
        <v>0</v>
      </c>
      <c r="F290">
        <v>2</v>
      </c>
      <c r="G290" t="s">
        <v>71</v>
      </c>
      <c r="H290" t="s">
        <v>68</v>
      </c>
    </row>
    <row r="291" spans="1:8">
      <c r="A291" t="s">
        <v>387</v>
      </c>
      <c r="B291" t="s">
        <v>385</v>
      </c>
      <c r="C291" t="s">
        <v>386</v>
      </c>
      <c r="D291" s="3">
        <v>45323</v>
      </c>
      <c r="E291">
        <v>6</v>
      </c>
      <c r="F291">
        <v>5</v>
      </c>
      <c r="G291" t="s">
        <v>67</v>
      </c>
      <c r="H291" t="s">
        <v>68</v>
      </c>
    </row>
    <row r="292" spans="1:8">
      <c r="A292" t="s">
        <v>388</v>
      </c>
      <c r="B292" t="s">
        <v>385</v>
      </c>
      <c r="C292" t="s">
        <v>386</v>
      </c>
      <c r="D292" s="3">
        <v>45352</v>
      </c>
      <c r="E292">
        <v>6</v>
      </c>
      <c r="F292">
        <v>7</v>
      </c>
      <c r="G292" t="s">
        <v>71</v>
      </c>
      <c r="H292" t="s">
        <v>68</v>
      </c>
    </row>
    <row r="293" spans="1:8">
      <c r="A293" t="s">
        <v>389</v>
      </c>
      <c r="B293" t="s">
        <v>385</v>
      </c>
      <c r="C293" t="s">
        <v>386</v>
      </c>
      <c r="D293" s="3">
        <v>45383</v>
      </c>
      <c r="E293">
        <v>20</v>
      </c>
      <c r="F293">
        <v>19</v>
      </c>
      <c r="G293" t="s">
        <v>71</v>
      </c>
      <c r="H293" t="s">
        <v>68</v>
      </c>
    </row>
    <row r="294" spans="1:8">
      <c r="A294" t="s">
        <v>390</v>
      </c>
      <c r="B294" t="s">
        <v>385</v>
      </c>
      <c r="C294" t="s">
        <v>386</v>
      </c>
      <c r="D294" s="3">
        <v>45413</v>
      </c>
      <c r="E294">
        <v>0</v>
      </c>
      <c r="F294">
        <v>0</v>
      </c>
      <c r="G294" t="s">
        <v>78</v>
      </c>
      <c r="H294" t="s">
        <v>68</v>
      </c>
    </row>
    <row r="295" spans="1:8">
      <c r="A295" t="s">
        <v>391</v>
      </c>
      <c r="B295" t="s">
        <v>385</v>
      </c>
      <c r="C295" t="s">
        <v>386</v>
      </c>
      <c r="D295" s="3">
        <v>45444</v>
      </c>
      <c r="E295">
        <v>7</v>
      </c>
      <c r="F295">
        <v>11</v>
      </c>
      <c r="G295" t="s">
        <v>67</v>
      </c>
      <c r="H295" t="s">
        <v>68</v>
      </c>
    </row>
    <row r="296" spans="1:8">
      <c r="A296" t="s">
        <v>392</v>
      </c>
      <c r="B296" t="s">
        <v>385</v>
      </c>
      <c r="C296" t="s">
        <v>386</v>
      </c>
      <c r="D296" s="3">
        <v>45474</v>
      </c>
      <c r="E296">
        <v>12</v>
      </c>
      <c r="F296">
        <v>8</v>
      </c>
      <c r="G296" t="s">
        <v>73</v>
      </c>
      <c r="H296" t="s">
        <v>68</v>
      </c>
    </row>
    <row r="297" spans="1:8">
      <c r="A297" t="s">
        <v>393</v>
      </c>
      <c r="B297" t="s">
        <v>385</v>
      </c>
      <c r="C297" t="s">
        <v>386</v>
      </c>
      <c r="D297" s="3">
        <v>45505</v>
      </c>
      <c r="E297">
        <v>6</v>
      </c>
      <c r="F297">
        <v>3</v>
      </c>
      <c r="G297" t="s">
        <v>67</v>
      </c>
      <c r="H297" t="s">
        <v>68</v>
      </c>
    </row>
    <row r="298" spans="1:8">
      <c r="A298" t="s">
        <v>394</v>
      </c>
      <c r="B298" t="s">
        <v>385</v>
      </c>
      <c r="C298" t="s">
        <v>386</v>
      </c>
      <c r="D298" s="3">
        <v>45536</v>
      </c>
      <c r="E298">
        <v>6</v>
      </c>
      <c r="F298">
        <v>5</v>
      </c>
      <c r="G298" t="s">
        <v>73</v>
      </c>
      <c r="H298" t="s">
        <v>68</v>
      </c>
    </row>
    <row r="299" spans="1:8">
      <c r="A299" t="s">
        <v>395</v>
      </c>
      <c r="B299" t="s">
        <v>385</v>
      </c>
      <c r="C299" t="s">
        <v>386</v>
      </c>
      <c r="D299" s="3">
        <v>45566</v>
      </c>
      <c r="E299">
        <v>9</v>
      </c>
      <c r="F299">
        <v>8</v>
      </c>
      <c r="G299" t="s">
        <v>67</v>
      </c>
      <c r="H299" t="s">
        <v>68</v>
      </c>
    </row>
    <row r="300" spans="1:8">
      <c r="A300" t="s">
        <v>396</v>
      </c>
      <c r="B300" t="s">
        <v>385</v>
      </c>
      <c r="C300" t="s">
        <v>386</v>
      </c>
      <c r="D300" s="3">
        <v>45597</v>
      </c>
      <c r="E300">
        <v>30</v>
      </c>
      <c r="F300">
        <v>34</v>
      </c>
      <c r="G300" t="s">
        <v>78</v>
      </c>
      <c r="H300" t="s">
        <v>68</v>
      </c>
    </row>
    <row r="301" spans="1:8">
      <c r="A301" t="s">
        <v>397</v>
      </c>
      <c r="B301" t="s">
        <v>385</v>
      </c>
      <c r="C301" t="s">
        <v>386</v>
      </c>
      <c r="D301" s="3">
        <v>45627</v>
      </c>
      <c r="E301">
        <v>5</v>
      </c>
      <c r="F301">
        <v>4</v>
      </c>
      <c r="G301" t="s">
        <v>67</v>
      </c>
      <c r="H301" t="s">
        <v>68</v>
      </c>
    </row>
    <row r="302" spans="1:8">
      <c r="A302" t="s">
        <v>398</v>
      </c>
      <c r="B302" t="s">
        <v>385</v>
      </c>
      <c r="C302" t="s">
        <v>386</v>
      </c>
      <c r="D302" s="3">
        <v>45658</v>
      </c>
      <c r="E302">
        <v>4</v>
      </c>
      <c r="F302">
        <v>6</v>
      </c>
      <c r="G302" t="s">
        <v>71</v>
      </c>
      <c r="H302" t="s">
        <v>68</v>
      </c>
    </row>
    <row r="303" spans="1:8">
      <c r="A303" t="s">
        <v>399</v>
      </c>
      <c r="B303" t="s">
        <v>385</v>
      </c>
      <c r="C303" t="s">
        <v>386</v>
      </c>
      <c r="D303" s="3">
        <v>45689</v>
      </c>
      <c r="E303">
        <v>10</v>
      </c>
      <c r="F303">
        <v>9</v>
      </c>
      <c r="G303" t="s">
        <v>71</v>
      </c>
      <c r="H303" t="s">
        <v>68</v>
      </c>
    </row>
    <row r="304" spans="1:8">
      <c r="A304" t="s">
        <v>400</v>
      </c>
      <c r="B304" t="s">
        <v>385</v>
      </c>
      <c r="C304" t="s">
        <v>386</v>
      </c>
      <c r="D304" s="3">
        <v>45717</v>
      </c>
      <c r="E304">
        <v>18</v>
      </c>
      <c r="F304">
        <v>23</v>
      </c>
      <c r="G304" t="s">
        <v>73</v>
      </c>
      <c r="H304" t="s">
        <v>68</v>
      </c>
    </row>
    <row r="305" spans="1:8">
      <c r="A305" t="s">
        <v>401</v>
      </c>
      <c r="B305" t="s">
        <v>385</v>
      </c>
      <c r="C305" t="s">
        <v>386</v>
      </c>
      <c r="D305" s="3">
        <v>45748</v>
      </c>
      <c r="E305">
        <v>8</v>
      </c>
      <c r="F305">
        <v>3</v>
      </c>
      <c r="G305" t="s">
        <v>73</v>
      </c>
      <c r="H305" t="s">
        <v>68</v>
      </c>
    </row>
    <row r="306" spans="1:8">
      <c r="A306" t="s">
        <v>402</v>
      </c>
      <c r="B306" t="s">
        <v>385</v>
      </c>
      <c r="C306" t="s">
        <v>386</v>
      </c>
      <c r="D306" s="3">
        <v>45778</v>
      </c>
      <c r="E306">
        <v>18</v>
      </c>
      <c r="F306">
        <v>17</v>
      </c>
      <c r="G306" t="s">
        <v>67</v>
      </c>
      <c r="H306" t="s">
        <v>68</v>
      </c>
    </row>
    <row r="307" spans="1:8">
      <c r="A307" t="s">
        <v>403</v>
      </c>
      <c r="B307" t="s">
        <v>385</v>
      </c>
      <c r="C307" t="s">
        <v>386</v>
      </c>
      <c r="D307" s="3">
        <v>45809</v>
      </c>
      <c r="E307">
        <v>5</v>
      </c>
      <c r="F307">
        <v>9</v>
      </c>
      <c r="G307" t="s">
        <v>78</v>
      </c>
      <c r="H307" t="s">
        <v>68</v>
      </c>
    </row>
    <row r="308" spans="1:8">
      <c r="A308" t="s">
        <v>404</v>
      </c>
      <c r="B308" t="s">
        <v>37</v>
      </c>
      <c r="C308" t="s">
        <v>405</v>
      </c>
      <c r="D308" s="3">
        <v>45292</v>
      </c>
      <c r="E308">
        <v>657</v>
      </c>
      <c r="F308">
        <v>662</v>
      </c>
      <c r="G308" t="s">
        <v>67</v>
      </c>
      <c r="H308" t="s">
        <v>68</v>
      </c>
    </row>
    <row r="309" spans="1:8">
      <c r="A309" t="s">
        <v>406</v>
      </c>
      <c r="B309" t="s">
        <v>37</v>
      </c>
      <c r="C309" t="s">
        <v>405</v>
      </c>
      <c r="D309" s="3">
        <v>45323</v>
      </c>
      <c r="E309">
        <v>543</v>
      </c>
      <c r="F309">
        <v>548</v>
      </c>
      <c r="G309" t="s">
        <v>71</v>
      </c>
      <c r="H309" t="s">
        <v>68</v>
      </c>
    </row>
    <row r="310" spans="1:8">
      <c r="A310" t="s">
        <v>407</v>
      </c>
      <c r="B310" t="s">
        <v>37</v>
      </c>
      <c r="C310" t="s">
        <v>405</v>
      </c>
      <c r="D310" s="3">
        <v>45352</v>
      </c>
      <c r="E310">
        <v>521</v>
      </c>
      <c r="F310">
        <v>520</v>
      </c>
      <c r="G310" t="s">
        <v>73</v>
      </c>
      <c r="H310" t="s">
        <v>68</v>
      </c>
    </row>
    <row r="311" spans="1:8">
      <c r="A311" t="s">
        <v>408</v>
      </c>
      <c r="B311" t="s">
        <v>37</v>
      </c>
      <c r="C311" t="s">
        <v>405</v>
      </c>
      <c r="D311" s="3">
        <v>45383</v>
      </c>
      <c r="E311">
        <v>775</v>
      </c>
      <c r="F311">
        <v>772</v>
      </c>
      <c r="G311" t="s">
        <v>71</v>
      </c>
      <c r="H311" t="s">
        <v>68</v>
      </c>
    </row>
    <row r="312" spans="1:8">
      <c r="A312" t="s">
        <v>409</v>
      </c>
      <c r="B312" t="s">
        <v>37</v>
      </c>
      <c r="C312" t="s">
        <v>405</v>
      </c>
      <c r="D312" s="3">
        <v>45413</v>
      </c>
      <c r="E312">
        <v>681</v>
      </c>
      <c r="F312">
        <v>680</v>
      </c>
      <c r="G312" t="s">
        <v>78</v>
      </c>
      <c r="H312" t="s">
        <v>68</v>
      </c>
    </row>
    <row r="313" spans="1:8">
      <c r="A313" t="s">
        <v>410</v>
      </c>
      <c r="B313" t="s">
        <v>37</v>
      </c>
      <c r="C313" t="s">
        <v>405</v>
      </c>
      <c r="D313" s="3">
        <v>45444</v>
      </c>
      <c r="E313">
        <v>643</v>
      </c>
      <c r="F313">
        <v>640</v>
      </c>
      <c r="G313" t="s">
        <v>78</v>
      </c>
      <c r="H313" t="s">
        <v>68</v>
      </c>
    </row>
    <row r="314" spans="1:8">
      <c r="A314" t="s">
        <v>411</v>
      </c>
      <c r="B314" t="s">
        <v>37</v>
      </c>
      <c r="C314" t="s">
        <v>405</v>
      </c>
      <c r="D314" s="3">
        <v>45474</v>
      </c>
      <c r="E314">
        <v>562</v>
      </c>
      <c r="F314">
        <v>565</v>
      </c>
      <c r="G314" t="s">
        <v>78</v>
      </c>
      <c r="H314" t="s">
        <v>68</v>
      </c>
    </row>
    <row r="315" spans="1:8">
      <c r="A315" t="s">
        <v>412</v>
      </c>
      <c r="B315" t="s">
        <v>37</v>
      </c>
      <c r="C315" t="s">
        <v>405</v>
      </c>
      <c r="D315" s="3">
        <v>45505</v>
      </c>
      <c r="E315">
        <v>655</v>
      </c>
      <c r="F315">
        <v>657</v>
      </c>
      <c r="G315" t="s">
        <v>78</v>
      </c>
      <c r="H315" t="s">
        <v>68</v>
      </c>
    </row>
    <row r="316" spans="1:8">
      <c r="A316" t="s">
        <v>413</v>
      </c>
      <c r="B316" t="s">
        <v>37</v>
      </c>
      <c r="C316" t="s">
        <v>405</v>
      </c>
      <c r="D316" s="3">
        <v>45536</v>
      </c>
      <c r="E316">
        <v>527</v>
      </c>
      <c r="F316">
        <v>527</v>
      </c>
      <c r="G316" t="s">
        <v>71</v>
      </c>
      <c r="H316" t="s">
        <v>68</v>
      </c>
    </row>
    <row r="317" spans="1:8">
      <c r="A317" t="s">
        <v>414</v>
      </c>
      <c r="B317" t="s">
        <v>37</v>
      </c>
      <c r="C317" t="s">
        <v>405</v>
      </c>
      <c r="D317" s="3">
        <v>45566</v>
      </c>
      <c r="E317">
        <v>543</v>
      </c>
      <c r="F317">
        <v>541</v>
      </c>
      <c r="G317" t="s">
        <v>73</v>
      </c>
      <c r="H317" t="s">
        <v>68</v>
      </c>
    </row>
    <row r="318" spans="1:8">
      <c r="A318" t="s">
        <v>415</v>
      </c>
      <c r="B318" t="s">
        <v>37</v>
      </c>
      <c r="C318" t="s">
        <v>405</v>
      </c>
      <c r="D318" s="3">
        <v>45597</v>
      </c>
      <c r="E318">
        <v>578</v>
      </c>
      <c r="F318">
        <v>581</v>
      </c>
      <c r="G318" t="s">
        <v>78</v>
      </c>
      <c r="H318" t="s">
        <v>68</v>
      </c>
    </row>
    <row r="319" spans="1:8">
      <c r="A319" t="s">
        <v>416</v>
      </c>
      <c r="B319" t="s">
        <v>37</v>
      </c>
      <c r="C319" t="s">
        <v>405</v>
      </c>
      <c r="D319" s="3">
        <v>45627</v>
      </c>
      <c r="E319">
        <v>646</v>
      </c>
      <c r="F319">
        <v>645</v>
      </c>
      <c r="G319" t="s">
        <v>71</v>
      </c>
      <c r="H319" t="s">
        <v>68</v>
      </c>
    </row>
    <row r="320" spans="1:8">
      <c r="A320" t="s">
        <v>417</v>
      </c>
      <c r="B320" t="s">
        <v>37</v>
      </c>
      <c r="C320" t="s">
        <v>405</v>
      </c>
      <c r="D320" s="3">
        <v>45658</v>
      </c>
      <c r="E320">
        <v>598</v>
      </c>
      <c r="F320">
        <v>600</v>
      </c>
      <c r="G320" t="s">
        <v>78</v>
      </c>
      <c r="H320" t="s">
        <v>68</v>
      </c>
    </row>
    <row r="321" spans="1:8">
      <c r="A321" t="s">
        <v>418</v>
      </c>
      <c r="B321" t="s">
        <v>37</v>
      </c>
      <c r="C321" t="s">
        <v>405</v>
      </c>
      <c r="D321" s="3">
        <v>45689</v>
      </c>
      <c r="E321">
        <v>449</v>
      </c>
      <c r="F321">
        <v>453</v>
      </c>
      <c r="G321" t="s">
        <v>73</v>
      </c>
      <c r="H321" t="s">
        <v>68</v>
      </c>
    </row>
    <row r="322" spans="1:8">
      <c r="A322" t="s">
        <v>419</v>
      </c>
      <c r="B322" t="s">
        <v>37</v>
      </c>
      <c r="C322" t="s">
        <v>405</v>
      </c>
      <c r="D322" s="3">
        <v>45717</v>
      </c>
      <c r="E322">
        <v>367</v>
      </c>
      <c r="F322">
        <v>372</v>
      </c>
      <c r="G322" t="s">
        <v>78</v>
      </c>
      <c r="H322" t="s">
        <v>68</v>
      </c>
    </row>
    <row r="323" spans="1:8">
      <c r="A323" t="s">
        <v>420</v>
      </c>
      <c r="B323" t="s">
        <v>37</v>
      </c>
      <c r="C323" t="s">
        <v>405</v>
      </c>
      <c r="D323" s="3">
        <v>45748</v>
      </c>
      <c r="E323">
        <v>556</v>
      </c>
      <c r="F323">
        <v>551</v>
      </c>
      <c r="G323" t="s">
        <v>78</v>
      </c>
      <c r="H323" t="s">
        <v>68</v>
      </c>
    </row>
    <row r="324" spans="1:8">
      <c r="A324" t="s">
        <v>421</v>
      </c>
      <c r="B324" t="s">
        <v>37</v>
      </c>
      <c r="C324" t="s">
        <v>405</v>
      </c>
      <c r="D324" s="3">
        <v>45778</v>
      </c>
      <c r="E324">
        <v>529</v>
      </c>
      <c r="F324">
        <v>533</v>
      </c>
      <c r="G324" t="s">
        <v>67</v>
      </c>
      <c r="H324" t="s">
        <v>68</v>
      </c>
    </row>
    <row r="325" spans="1:8">
      <c r="A325" t="s">
        <v>422</v>
      </c>
      <c r="B325" t="s">
        <v>37</v>
      </c>
      <c r="C325" t="s">
        <v>405</v>
      </c>
      <c r="D325" s="3">
        <v>45809</v>
      </c>
      <c r="E325">
        <v>373</v>
      </c>
      <c r="F325">
        <v>375</v>
      </c>
      <c r="G325" t="s">
        <v>78</v>
      </c>
      <c r="H325" t="s">
        <v>68</v>
      </c>
    </row>
    <row r="326" spans="1:8">
      <c r="A326" t="s">
        <v>423</v>
      </c>
      <c r="B326" t="s">
        <v>34</v>
      </c>
      <c r="C326" t="s">
        <v>424</v>
      </c>
      <c r="D326" s="3">
        <v>45292</v>
      </c>
      <c r="E326">
        <v>297</v>
      </c>
      <c r="F326">
        <v>302</v>
      </c>
      <c r="G326" t="s">
        <v>73</v>
      </c>
      <c r="H326" t="s">
        <v>68</v>
      </c>
    </row>
    <row r="327" spans="1:8">
      <c r="A327" t="s">
        <v>425</v>
      </c>
      <c r="B327" t="s">
        <v>34</v>
      </c>
      <c r="C327" t="s">
        <v>424</v>
      </c>
      <c r="D327" s="3">
        <v>45323</v>
      </c>
      <c r="E327">
        <v>435</v>
      </c>
      <c r="F327">
        <v>430</v>
      </c>
      <c r="G327" t="s">
        <v>78</v>
      </c>
      <c r="H327" t="s">
        <v>68</v>
      </c>
    </row>
    <row r="328" spans="1:8">
      <c r="A328" t="s">
        <v>426</v>
      </c>
      <c r="B328" t="s">
        <v>34</v>
      </c>
      <c r="C328" t="s">
        <v>424</v>
      </c>
      <c r="D328" s="3">
        <v>45352</v>
      </c>
      <c r="E328">
        <v>448</v>
      </c>
      <c r="F328">
        <v>450</v>
      </c>
      <c r="G328" t="s">
        <v>71</v>
      </c>
      <c r="H328" t="s">
        <v>68</v>
      </c>
    </row>
    <row r="329" spans="1:8">
      <c r="A329" t="s">
        <v>427</v>
      </c>
      <c r="B329" t="s">
        <v>34</v>
      </c>
      <c r="C329" t="s">
        <v>424</v>
      </c>
      <c r="D329" s="3">
        <v>45383</v>
      </c>
      <c r="E329">
        <v>599</v>
      </c>
      <c r="F329">
        <v>596</v>
      </c>
      <c r="G329" t="s">
        <v>73</v>
      </c>
      <c r="H329" t="s">
        <v>68</v>
      </c>
    </row>
    <row r="330" spans="1:8">
      <c r="A330" t="s">
        <v>428</v>
      </c>
      <c r="B330" t="s">
        <v>34</v>
      </c>
      <c r="C330" t="s">
        <v>424</v>
      </c>
      <c r="D330" s="3">
        <v>45413</v>
      </c>
      <c r="E330">
        <v>567</v>
      </c>
      <c r="F330">
        <v>569</v>
      </c>
      <c r="G330" t="s">
        <v>78</v>
      </c>
      <c r="H330" t="s">
        <v>68</v>
      </c>
    </row>
    <row r="331" spans="1:8">
      <c r="A331" t="s">
        <v>429</v>
      </c>
      <c r="B331" t="s">
        <v>34</v>
      </c>
      <c r="C331" t="s">
        <v>424</v>
      </c>
      <c r="D331" s="3">
        <v>45444</v>
      </c>
      <c r="E331">
        <v>403</v>
      </c>
      <c r="F331">
        <v>406</v>
      </c>
      <c r="G331" t="s">
        <v>73</v>
      </c>
      <c r="H331" t="s">
        <v>68</v>
      </c>
    </row>
    <row r="332" spans="1:8">
      <c r="A332" t="s">
        <v>430</v>
      </c>
      <c r="B332" t="s">
        <v>34</v>
      </c>
      <c r="C332" t="s">
        <v>424</v>
      </c>
      <c r="D332" s="3">
        <v>45474</v>
      </c>
      <c r="E332">
        <v>359</v>
      </c>
      <c r="F332">
        <v>363</v>
      </c>
      <c r="G332" t="s">
        <v>67</v>
      </c>
      <c r="H332" t="s">
        <v>68</v>
      </c>
    </row>
    <row r="333" spans="1:8">
      <c r="A333" t="s">
        <v>431</v>
      </c>
      <c r="B333" t="s">
        <v>34</v>
      </c>
      <c r="C333" t="s">
        <v>424</v>
      </c>
      <c r="D333" s="3">
        <v>45505</v>
      </c>
      <c r="E333">
        <v>603</v>
      </c>
      <c r="F333">
        <v>605</v>
      </c>
      <c r="G333" t="s">
        <v>73</v>
      </c>
      <c r="H333" t="s">
        <v>68</v>
      </c>
    </row>
    <row r="334" spans="1:8">
      <c r="A334" t="s">
        <v>432</v>
      </c>
      <c r="B334" t="s">
        <v>34</v>
      </c>
      <c r="C334" t="s">
        <v>424</v>
      </c>
      <c r="D334" s="3">
        <v>45536</v>
      </c>
      <c r="E334">
        <v>433</v>
      </c>
      <c r="F334">
        <v>432</v>
      </c>
      <c r="G334" t="s">
        <v>71</v>
      </c>
      <c r="H334" t="s">
        <v>68</v>
      </c>
    </row>
    <row r="335" spans="1:8">
      <c r="A335" t="s">
        <v>433</v>
      </c>
      <c r="B335" t="s">
        <v>34</v>
      </c>
      <c r="C335" t="s">
        <v>424</v>
      </c>
      <c r="D335" s="3">
        <v>45566</v>
      </c>
      <c r="E335">
        <v>511</v>
      </c>
      <c r="F335">
        <v>513</v>
      </c>
      <c r="G335" t="s">
        <v>67</v>
      </c>
      <c r="H335" t="s">
        <v>68</v>
      </c>
    </row>
    <row r="336" spans="1:8">
      <c r="A336" t="s">
        <v>434</v>
      </c>
      <c r="B336" t="s">
        <v>34</v>
      </c>
      <c r="C336" t="s">
        <v>424</v>
      </c>
      <c r="D336" s="3">
        <v>45597</v>
      </c>
      <c r="E336">
        <v>491</v>
      </c>
      <c r="F336">
        <v>491</v>
      </c>
      <c r="G336" t="s">
        <v>71</v>
      </c>
      <c r="H336" t="s">
        <v>68</v>
      </c>
    </row>
    <row r="337" spans="1:8">
      <c r="A337" t="s">
        <v>435</v>
      </c>
      <c r="B337" t="s">
        <v>34</v>
      </c>
      <c r="C337" t="s">
        <v>424</v>
      </c>
      <c r="D337" s="3">
        <v>45627</v>
      </c>
      <c r="E337">
        <v>650</v>
      </c>
      <c r="F337">
        <v>655</v>
      </c>
      <c r="G337" t="s">
        <v>78</v>
      </c>
      <c r="H337" t="s">
        <v>68</v>
      </c>
    </row>
    <row r="338" spans="1:8">
      <c r="A338" t="s">
        <v>436</v>
      </c>
      <c r="B338" t="s">
        <v>34</v>
      </c>
      <c r="C338" t="s">
        <v>424</v>
      </c>
      <c r="D338" s="3">
        <v>45658</v>
      </c>
      <c r="E338">
        <v>569</v>
      </c>
      <c r="F338">
        <v>564</v>
      </c>
      <c r="G338" t="s">
        <v>73</v>
      </c>
      <c r="H338" t="s">
        <v>68</v>
      </c>
    </row>
    <row r="339" spans="1:8">
      <c r="A339" t="s">
        <v>437</v>
      </c>
      <c r="B339" t="s">
        <v>34</v>
      </c>
      <c r="C339" t="s">
        <v>424</v>
      </c>
      <c r="D339" s="3">
        <v>45689</v>
      </c>
      <c r="E339">
        <v>556</v>
      </c>
      <c r="F339">
        <v>558</v>
      </c>
      <c r="G339" t="s">
        <v>71</v>
      </c>
      <c r="H339" t="s">
        <v>68</v>
      </c>
    </row>
    <row r="340" spans="1:8">
      <c r="A340" t="s">
        <v>438</v>
      </c>
      <c r="B340" t="s">
        <v>34</v>
      </c>
      <c r="C340" t="s">
        <v>424</v>
      </c>
      <c r="D340" s="3">
        <v>45717</v>
      </c>
      <c r="E340">
        <v>843</v>
      </c>
      <c r="F340">
        <v>848</v>
      </c>
      <c r="G340" t="s">
        <v>67</v>
      </c>
      <c r="H340" t="s">
        <v>68</v>
      </c>
    </row>
    <row r="341" spans="1:8">
      <c r="A341" t="s">
        <v>439</v>
      </c>
      <c r="B341" t="s">
        <v>34</v>
      </c>
      <c r="C341" t="s">
        <v>424</v>
      </c>
      <c r="D341" s="3">
        <v>45748</v>
      </c>
      <c r="E341">
        <v>548</v>
      </c>
      <c r="F341">
        <v>543</v>
      </c>
      <c r="G341" t="s">
        <v>71</v>
      </c>
      <c r="H341" t="s">
        <v>68</v>
      </c>
    </row>
    <row r="342" spans="1:8">
      <c r="A342" t="s">
        <v>440</v>
      </c>
      <c r="B342" t="s">
        <v>34</v>
      </c>
      <c r="C342" t="s">
        <v>424</v>
      </c>
      <c r="D342" s="3">
        <v>45778</v>
      </c>
      <c r="E342">
        <v>545</v>
      </c>
      <c r="F342">
        <v>545</v>
      </c>
      <c r="G342" t="s">
        <v>67</v>
      </c>
      <c r="H342" t="s">
        <v>68</v>
      </c>
    </row>
    <row r="343" spans="1:8">
      <c r="A343" t="s">
        <v>441</v>
      </c>
      <c r="B343" t="s">
        <v>34</v>
      </c>
      <c r="C343" t="s">
        <v>424</v>
      </c>
      <c r="D343" s="3">
        <v>45809</v>
      </c>
      <c r="E343">
        <v>812</v>
      </c>
      <c r="F343">
        <v>810</v>
      </c>
      <c r="G343" t="s">
        <v>71</v>
      </c>
      <c r="H343" t="s">
        <v>68</v>
      </c>
    </row>
    <row r="344" spans="1:8">
      <c r="A344" t="s">
        <v>442</v>
      </c>
      <c r="B344" t="s">
        <v>443</v>
      </c>
      <c r="C344" t="s">
        <v>444</v>
      </c>
      <c r="D344" s="3">
        <v>45292</v>
      </c>
      <c r="E344">
        <v>32</v>
      </c>
      <c r="F344">
        <v>35</v>
      </c>
      <c r="G344" t="s">
        <v>67</v>
      </c>
      <c r="H344" t="s">
        <v>68</v>
      </c>
    </row>
    <row r="345" spans="1:8">
      <c r="A345" t="s">
        <v>445</v>
      </c>
      <c r="B345" t="s">
        <v>443</v>
      </c>
      <c r="C345" t="s">
        <v>444</v>
      </c>
      <c r="D345" s="3">
        <v>45323</v>
      </c>
      <c r="E345">
        <v>21</v>
      </c>
      <c r="F345">
        <v>19</v>
      </c>
      <c r="G345" t="s">
        <v>78</v>
      </c>
      <c r="H345" t="s">
        <v>68</v>
      </c>
    </row>
    <row r="346" spans="1:8">
      <c r="A346" t="s">
        <v>446</v>
      </c>
      <c r="B346" t="s">
        <v>443</v>
      </c>
      <c r="C346" t="s">
        <v>444</v>
      </c>
      <c r="D346" s="3">
        <v>45352</v>
      </c>
      <c r="E346">
        <v>48</v>
      </c>
      <c r="F346">
        <v>45</v>
      </c>
      <c r="G346" t="s">
        <v>71</v>
      </c>
      <c r="H346" t="s">
        <v>68</v>
      </c>
    </row>
    <row r="347" spans="1:8">
      <c r="A347" t="s">
        <v>447</v>
      </c>
      <c r="B347" t="s">
        <v>443</v>
      </c>
      <c r="C347" t="s">
        <v>444</v>
      </c>
      <c r="D347" s="3">
        <v>45383</v>
      </c>
      <c r="E347">
        <v>52</v>
      </c>
      <c r="F347">
        <v>49</v>
      </c>
      <c r="G347" t="s">
        <v>78</v>
      </c>
      <c r="H347" t="s">
        <v>68</v>
      </c>
    </row>
    <row r="348" spans="1:8">
      <c r="A348" t="s">
        <v>448</v>
      </c>
      <c r="B348" t="s">
        <v>443</v>
      </c>
      <c r="C348" t="s">
        <v>444</v>
      </c>
      <c r="D348" s="3">
        <v>45413</v>
      </c>
      <c r="E348">
        <v>67</v>
      </c>
      <c r="F348">
        <v>64</v>
      </c>
      <c r="G348" t="s">
        <v>71</v>
      </c>
      <c r="H348" t="s">
        <v>68</v>
      </c>
    </row>
    <row r="349" spans="1:8">
      <c r="A349" t="s">
        <v>449</v>
      </c>
      <c r="B349" t="s">
        <v>443</v>
      </c>
      <c r="C349" t="s">
        <v>444</v>
      </c>
      <c r="D349" s="3">
        <v>45444</v>
      </c>
      <c r="E349">
        <v>44</v>
      </c>
      <c r="F349">
        <v>39</v>
      </c>
      <c r="G349" t="s">
        <v>78</v>
      </c>
      <c r="H349" t="s">
        <v>68</v>
      </c>
    </row>
    <row r="350" spans="1:8">
      <c r="A350" t="s">
        <v>450</v>
      </c>
      <c r="B350" t="s">
        <v>443</v>
      </c>
      <c r="C350" t="s">
        <v>444</v>
      </c>
      <c r="D350" s="3">
        <v>45474</v>
      </c>
      <c r="E350">
        <v>32</v>
      </c>
      <c r="F350">
        <v>30</v>
      </c>
      <c r="G350" t="s">
        <v>78</v>
      </c>
      <c r="H350" t="s">
        <v>68</v>
      </c>
    </row>
    <row r="351" spans="1:8">
      <c r="A351" t="s">
        <v>451</v>
      </c>
      <c r="B351" t="s">
        <v>443</v>
      </c>
      <c r="C351" t="s">
        <v>444</v>
      </c>
      <c r="D351" s="3">
        <v>45505</v>
      </c>
      <c r="E351">
        <v>51</v>
      </c>
      <c r="F351">
        <v>48</v>
      </c>
      <c r="G351" t="s">
        <v>73</v>
      </c>
      <c r="H351" t="s">
        <v>68</v>
      </c>
    </row>
    <row r="352" spans="1:8">
      <c r="A352" t="s">
        <v>452</v>
      </c>
      <c r="B352" t="s">
        <v>443</v>
      </c>
      <c r="C352" t="s">
        <v>444</v>
      </c>
      <c r="D352" s="3">
        <v>45536</v>
      </c>
      <c r="E352">
        <v>56</v>
      </c>
      <c r="F352">
        <v>59</v>
      </c>
      <c r="G352" t="s">
        <v>71</v>
      </c>
      <c r="H352" t="s">
        <v>68</v>
      </c>
    </row>
    <row r="353" spans="1:8">
      <c r="A353" t="s">
        <v>453</v>
      </c>
      <c r="B353" t="s">
        <v>443</v>
      </c>
      <c r="C353" t="s">
        <v>444</v>
      </c>
      <c r="D353" s="3">
        <v>45566</v>
      </c>
      <c r="E353">
        <v>55</v>
      </c>
      <c r="F353">
        <v>55</v>
      </c>
      <c r="G353" t="s">
        <v>71</v>
      </c>
      <c r="H353" t="s">
        <v>68</v>
      </c>
    </row>
    <row r="354" spans="1:8">
      <c r="A354" t="s">
        <v>454</v>
      </c>
      <c r="B354" t="s">
        <v>443</v>
      </c>
      <c r="C354" t="s">
        <v>444</v>
      </c>
      <c r="D354" s="3">
        <v>45597</v>
      </c>
      <c r="E354">
        <v>47</v>
      </c>
      <c r="F354">
        <v>49</v>
      </c>
      <c r="G354" t="s">
        <v>67</v>
      </c>
      <c r="H354" t="s">
        <v>68</v>
      </c>
    </row>
    <row r="355" spans="1:8">
      <c r="A355" t="s">
        <v>455</v>
      </c>
      <c r="B355" t="s">
        <v>443</v>
      </c>
      <c r="C355" t="s">
        <v>444</v>
      </c>
      <c r="D355" s="3">
        <v>45627</v>
      </c>
      <c r="E355">
        <v>47</v>
      </c>
      <c r="F355">
        <v>52</v>
      </c>
      <c r="G355" t="s">
        <v>78</v>
      </c>
      <c r="H355" t="s">
        <v>68</v>
      </c>
    </row>
    <row r="356" spans="1:8">
      <c r="A356" t="s">
        <v>456</v>
      </c>
      <c r="B356" t="s">
        <v>443</v>
      </c>
      <c r="C356" t="s">
        <v>444</v>
      </c>
      <c r="D356" s="3">
        <v>45658</v>
      </c>
      <c r="E356">
        <v>32</v>
      </c>
      <c r="F356">
        <v>34</v>
      </c>
      <c r="G356" t="s">
        <v>71</v>
      </c>
      <c r="H356" t="s">
        <v>68</v>
      </c>
    </row>
    <row r="357" spans="1:8">
      <c r="A357" t="s">
        <v>457</v>
      </c>
      <c r="B357" t="s">
        <v>443</v>
      </c>
      <c r="C357" t="s">
        <v>444</v>
      </c>
      <c r="D357" s="3">
        <v>45689</v>
      </c>
      <c r="E357">
        <v>42</v>
      </c>
      <c r="F357">
        <v>43</v>
      </c>
      <c r="G357" t="s">
        <v>73</v>
      </c>
      <c r="H357" t="s">
        <v>68</v>
      </c>
    </row>
    <row r="358" spans="1:8">
      <c r="A358" t="s">
        <v>458</v>
      </c>
      <c r="B358" t="s">
        <v>443</v>
      </c>
      <c r="C358" t="s">
        <v>444</v>
      </c>
      <c r="D358" s="3">
        <v>45717</v>
      </c>
      <c r="E358">
        <v>59</v>
      </c>
      <c r="F358">
        <v>64</v>
      </c>
      <c r="G358" t="s">
        <v>71</v>
      </c>
      <c r="H358" t="s">
        <v>68</v>
      </c>
    </row>
    <row r="359" spans="1:8">
      <c r="A359" t="s">
        <v>459</v>
      </c>
      <c r="B359" t="s">
        <v>443</v>
      </c>
      <c r="C359" t="s">
        <v>444</v>
      </c>
      <c r="D359" s="3">
        <v>45748</v>
      </c>
      <c r="E359">
        <v>38</v>
      </c>
      <c r="F359">
        <v>34</v>
      </c>
      <c r="G359" t="s">
        <v>71</v>
      </c>
      <c r="H359" t="s">
        <v>68</v>
      </c>
    </row>
    <row r="360" spans="1:8">
      <c r="A360" t="s">
        <v>460</v>
      </c>
      <c r="B360" t="s">
        <v>443</v>
      </c>
      <c r="C360" t="s">
        <v>444</v>
      </c>
      <c r="D360" s="3">
        <v>45778</v>
      </c>
      <c r="E360">
        <v>46</v>
      </c>
      <c r="F360">
        <v>46</v>
      </c>
      <c r="G360" t="s">
        <v>67</v>
      </c>
      <c r="H360" t="s">
        <v>68</v>
      </c>
    </row>
    <row r="361" spans="1:8">
      <c r="A361" t="s">
        <v>461</v>
      </c>
      <c r="B361" t="s">
        <v>443</v>
      </c>
      <c r="C361" t="s">
        <v>444</v>
      </c>
      <c r="D361" s="3">
        <v>45809</v>
      </c>
      <c r="E361">
        <v>50</v>
      </c>
      <c r="F361">
        <v>55</v>
      </c>
      <c r="G361" t="s">
        <v>78</v>
      </c>
      <c r="H361" t="s">
        <v>68</v>
      </c>
    </row>
    <row r="362" spans="1:8">
      <c r="A362" t="s">
        <v>462</v>
      </c>
      <c r="B362" t="s">
        <v>463</v>
      </c>
      <c r="C362" t="s">
        <v>464</v>
      </c>
      <c r="D362" s="3">
        <v>45292</v>
      </c>
      <c r="E362">
        <v>15</v>
      </c>
      <c r="F362">
        <v>16</v>
      </c>
      <c r="G362" t="s">
        <v>78</v>
      </c>
      <c r="H362" t="s">
        <v>68</v>
      </c>
    </row>
    <row r="363" spans="1:8">
      <c r="A363" t="s">
        <v>465</v>
      </c>
      <c r="B363" t="s">
        <v>463</v>
      </c>
      <c r="C363" t="s">
        <v>464</v>
      </c>
      <c r="D363" s="3">
        <v>45323</v>
      </c>
      <c r="E363">
        <v>11</v>
      </c>
      <c r="F363">
        <v>7</v>
      </c>
      <c r="G363" t="s">
        <v>71</v>
      </c>
      <c r="H363" t="s">
        <v>68</v>
      </c>
    </row>
    <row r="364" spans="1:8">
      <c r="A364" t="s">
        <v>466</v>
      </c>
      <c r="B364" t="s">
        <v>463</v>
      </c>
      <c r="C364" t="s">
        <v>464</v>
      </c>
      <c r="D364" s="3">
        <v>45352</v>
      </c>
      <c r="E364">
        <v>16</v>
      </c>
      <c r="F364">
        <v>21</v>
      </c>
      <c r="G364" t="s">
        <v>67</v>
      </c>
      <c r="H364" t="s">
        <v>68</v>
      </c>
    </row>
    <row r="365" spans="1:8">
      <c r="A365" t="s">
        <v>467</v>
      </c>
      <c r="B365" t="s">
        <v>463</v>
      </c>
      <c r="C365" t="s">
        <v>464</v>
      </c>
      <c r="D365" s="3">
        <v>45383</v>
      </c>
      <c r="E365">
        <v>9</v>
      </c>
      <c r="F365">
        <v>10</v>
      </c>
      <c r="G365" t="s">
        <v>78</v>
      </c>
      <c r="H365" t="s">
        <v>68</v>
      </c>
    </row>
    <row r="366" spans="1:8">
      <c r="A366" t="s">
        <v>468</v>
      </c>
      <c r="B366" t="s">
        <v>463</v>
      </c>
      <c r="C366" t="s">
        <v>464</v>
      </c>
      <c r="D366" s="3">
        <v>45413</v>
      </c>
      <c r="E366">
        <v>17</v>
      </c>
      <c r="F366">
        <v>19</v>
      </c>
      <c r="G366" t="s">
        <v>73</v>
      </c>
      <c r="H366" t="s">
        <v>68</v>
      </c>
    </row>
    <row r="367" spans="1:8">
      <c r="A367" t="s">
        <v>469</v>
      </c>
      <c r="B367" t="s">
        <v>463</v>
      </c>
      <c r="C367" t="s">
        <v>464</v>
      </c>
      <c r="D367" s="3">
        <v>45444</v>
      </c>
      <c r="E367">
        <v>13</v>
      </c>
      <c r="F367">
        <v>14</v>
      </c>
      <c r="G367" t="s">
        <v>78</v>
      </c>
      <c r="H367" t="s">
        <v>68</v>
      </c>
    </row>
    <row r="368" spans="1:8">
      <c r="A368" t="s">
        <v>470</v>
      </c>
      <c r="B368" t="s">
        <v>463</v>
      </c>
      <c r="C368" t="s">
        <v>464</v>
      </c>
      <c r="D368" s="3">
        <v>45474</v>
      </c>
      <c r="E368">
        <v>15</v>
      </c>
      <c r="F368">
        <v>20</v>
      </c>
      <c r="G368" t="s">
        <v>78</v>
      </c>
      <c r="H368" t="s">
        <v>68</v>
      </c>
    </row>
    <row r="369" spans="1:8">
      <c r="A369" t="s">
        <v>471</v>
      </c>
      <c r="B369" t="s">
        <v>463</v>
      </c>
      <c r="C369" t="s">
        <v>464</v>
      </c>
      <c r="D369" s="3">
        <v>45505</v>
      </c>
      <c r="E369">
        <v>13</v>
      </c>
      <c r="F369">
        <v>15</v>
      </c>
      <c r="G369" t="s">
        <v>71</v>
      </c>
      <c r="H369" t="s">
        <v>68</v>
      </c>
    </row>
    <row r="370" spans="1:8">
      <c r="A370" t="s">
        <v>472</v>
      </c>
      <c r="B370" t="s">
        <v>463</v>
      </c>
      <c r="C370" t="s">
        <v>464</v>
      </c>
      <c r="D370" s="3">
        <v>45536</v>
      </c>
      <c r="E370">
        <v>16</v>
      </c>
      <c r="F370">
        <v>12</v>
      </c>
      <c r="G370" t="s">
        <v>71</v>
      </c>
      <c r="H370" t="s">
        <v>68</v>
      </c>
    </row>
    <row r="371" spans="1:8">
      <c r="A371" t="s">
        <v>473</v>
      </c>
      <c r="B371" t="s">
        <v>463</v>
      </c>
      <c r="C371" t="s">
        <v>464</v>
      </c>
      <c r="D371" s="3">
        <v>45566</v>
      </c>
      <c r="E371">
        <v>16</v>
      </c>
      <c r="F371">
        <v>16</v>
      </c>
      <c r="G371" t="s">
        <v>67</v>
      </c>
      <c r="H371" t="s">
        <v>68</v>
      </c>
    </row>
    <row r="372" spans="1:8">
      <c r="A372" t="s">
        <v>474</v>
      </c>
      <c r="B372" t="s">
        <v>463</v>
      </c>
      <c r="C372" t="s">
        <v>464</v>
      </c>
      <c r="D372" s="3">
        <v>45597</v>
      </c>
      <c r="E372">
        <v>15</v>
      </c>
      <c r="F372">
        <v>18</v>
      </c>
      <c r="G372" t="s">
        <v>71</v>
      </c>
      <c r="H372" t="s">
        <v>68</v>
      </c>
    </row>
    <row r="373" spans="1:8">
      <c r="A373" t="s">
        <v>475</v>
      </c>
      <c r="B373" t="s">
        <v>463</v>
      </c>
      <c r="C373" t="s">
        <v>464</v>
      </c>
      <c r="D373" s="3">
        <v>45627</v>
      </c>
      <c r="E373">
        <v>11</v>
      </c>
      <c r="F373">
        <v>11</v>
      </c>
      <c r="G373" t="s">
        <v>71</v>
      </c>
      <c r="H373" t="s">
        <v>68</v>
      </c>
    </row>
    <row r="374" spans="1:8">
      <c r="A374" t="s">
        <v>476</v>
      </c>
      <c r="B374" t="s">
        <v>463</v>
      </c>
      <c r="C374" t="s">
        <v>464</v>
      </c>
      <c r="D374" s="3">
        <v>45658</v>
      </c>
      <c r="E374">
        <v>13</v>
      </c>
      <c r="F374">
        <v>14</v>
      </c>
      <c r="G374" t="s">
        <v>78</v>
      </c>
      <c r="H374" t="s">
        <v>68</v>
      </c>
    </row>
    <row r="375" spans="1:8">
      <c r="A375" t="s">
        <v>477</v>
      </c>
      <c r="B375" t="s">
        <v>463</v>
      </c>
      <c r="C375" t="s">
        <v>464</v>
      </c>
      <c r="D375" s="3">
        <v>45689</v>
      </c>
      <c r="E375">
        <v>20</v>
      </c>
      <c r="F375">
        <v>21</v>
      </c>
      <c r="G375" t="s">
        <v>71</v>
      </c>
      <c r="H375" t="s">
        <v>68</v>
      </c>
    </row>
    <row r="376" spans="1:8">
      <c r="A376" t="s">
        <v>478</v>
      </c>
      <c r="B376" t="s">
        <v>463</v>
      </c>
      <c r="C376" t="s">
        <v>464</v>
      </c>
      <c r="D376" s="3">
        <v>45717</v>
      </c>
      <c r="E376">
        <v>9</v>
      </c>
      <c r="F376">
        <v>8</v>
      </c>
      <c r="G376" t="s">
        <v>78</v>
      </c>
      <c r="H376" t="s">
        <v>68</v>
      </c>
    </row>
    <row r="377" spans="1:8">
      <c r="A377" t="s">
        <v>479</v>
      </c>
      <c r="B377" t="s">
        <v>463</v>
      </c>
      <c r="C377" t="s">
        <v>464</v>
      </c>
      <c r="D377" s="3">
        <v>45748</v>
      </c>
      <c r="E377">
        <v>12</v>
      </c>
      <c r="F377">
        <v>10</v>
      </c>
      <c r="G377" t="s">
        <v>67</v>
      </c>
      <c r="H377" t="s">
        <v>68</v>
      </c>
    </row>
    <row r="378" spans="1:8">
      <c r="A378" t="s">
        <v>480</v>
      </c>
      <c r="B378" t="s">
        <v>463</v>
      </c>
      <c r="C378" t="s">
        <v>464</v>
      </c>
      <c r="D378" s="3">
        <v>45778</v>
      </c>
      <c r="E378">
        <v>18</v>
      </c>
      <c r="F378">
        <v>23</v>
      </c>
      <c r="G378" t="s">
        <v>73</v>
      </c>
      <c r="H378" t="s">
        <v>68</v>
      </c>
    </row>
    <row r="379" spans="1:8">
      <c r="A379" t="s">
        <v>481</v>
      </c>
      <c r="B379" t="s">
        <v>463</v>
      </c>
      <c r="C379" t="s">
        <v>464</v>
      </c>
      <c r="D379" s="3">
        <v>45809</v>
      </c>
      <c r="E379">
        <v>15</v>
      </c>
      <c r="F379">
        <v>18</v>
      </c>
      <c r="G379" t="s">
        <v>78</v>
      </c>
      <c r="H379" t="s">
        <v>68</v>
      </c>
    </row>
    <row r="380" spans="1:8">
      <c r="A380" t="s">
        <v>482</v>
      </c>
      <c r="B380" t="s">
        <v>483</v>
      </c>
      <c r="C380" t="s">
        <v>484</v>
      </c>
      <c r="D380" s="3">
        <v>45292</v>
      </c>
      <c r="E380">
        <v>0</v>
      </c>
      <c r="F380">
        <v>0</v>
      </c>
      <c r="G380" t="s">
        <v>67</v>
      </c>
      <c r="H380" t="s">
        <v>68</v>
      </c>
    </row>
    <row r="381" spans="1:8">
      <c r="A381" t="s">
        <v>485</v>
      </c>
      <c r="B381" t="s">
        <v>483</v>
      </c>
      <c r="C381" t="s">
        <v>484</v>
      </c>
      <c r="D381" s="3">
        <v>45323</v>
      </c>
      <c r="E381">
        <v>4</v>
      </c>
      <c r="F381">
        <v>7</v>
      </c>
      <c r="G381" t="s">
        <v>71</v>
      </c>
      <c r="H381" t="s">
        <v>68</v>
      </c>
    </row>
    <row r="382" spans="1:8">
      <c r="A382" t="s">
        <v>486</v>
      </c>
      <c r="B382" t="s">
        <v>483</v>
      </c>
      <c r="C382" t="s">
        <v>484</v>
      </c>
      <c r="D382" s="3">
        <v>45352</v>
      </c>
      <c r="E382">
        <v>2</v>
      </c>
      <c r="F382">
        <v>0</v>
      </c>
      <c r="G382" t="s">
        <v>67</v>
      </c>
      <c r="H382" t="s">
        <v>68</v>
      </c>
    </row>
    <row r="383" spans="1:8">
      <c r="A383" t="s">
        <v>487</v>
      </c>
      <c r="B383" t="s">
        <v>483</v>
      </c>
      <c r="C383" t="s">
        <v>484</v>
      </c>
      <c r="D383" s="3">
        <v>45383</v>
      </c>
      <c r="E383">
        <v>0</v>
      </c>
      <c r="F383">
        <v>0</v>
      </c>
      <c r="G383" t="s">
        <v>78</v>
      </c>
      <c r="H383" t="s">
        <v>68</v>
      </c>
    </row>
    <row r="384" spans="1:8">
      <c r="A384" t="s">
        <v>488</v>
      </c>
      <c r="B384" t="s">
        <v>483</v>
      </c>
      <c r="C384" t="s">
        <v>484</v>
      </c>
      <c r="D384" s="3">
        <v>45413</v>
      </c>
      <c r="E384">
        <v>1</v>
      </c>
      <c r="F384">
        <v>0</v>
      </c>
      <c r="G384" t="s">
        <v>67</v>
      </c>
      <c r="H384" t="s">
        <v>68</v>
      </c>
    </row>
    <row r="385" spans="1:8">
      <c r="A385" t="s">
        <v>489</v>
      </c>
      <c r="B385" t="s">
        <v>483</v>
      </c>
      <c r="C385" t="s">
        <v>484</v>
      </c>
      <c r="D385" s="3">
        <v>45444</v>
      </c>
      <c r="E385">
        <v>3</v>
      </c>
      <c r="F385">
        <v>8</v>
      </c>
      <c r="G385" t="s">
        <v>71</v>
      </c>
      <c r="H385" t="s">
        <v>68</v>
      </c>
    </row>
    <row r="386" spans="1:8">
      <c r="A386" t="s">
        <v>490</v>
      </c>
      <c r="B386" t="s">
        <v>483</v>
      </c>
      <c r="C386" t="s">
        <v>484</v>
      </c>
      <c r="D386" s="3">
        <v>45474</v>
      </c>
      <c r="E386">
        <v>0</v>
      </c>
      <c r="F386">
        <v>3</v>
      </c>
      <c r="G386" t="s">
        <v>67</v>
      </c>
      <c r="H386" t="s">
        <v>68</v>
      </c>
    </row>
    <row r="387" spans="1:8">
      <c r="A387" t="s">
        <v>491</v>
      </c>
      <c r="B387" t="s">
        <v>483</v>
      </c>
      <c r="C387" t="s">
        <v>484</v>
      </c>
      <c r="D387" s="3">
        <v>45505</v>
      </c>
      <c r="E387">
        <v>4</v>
      </c>
      <c r="F387">
        <v>6</v>
      </c>
      <c r="G387" t="s">
        <v>78</v>
      </c>
      <c r="H387" t="s">
        <v>68</v>
      </c>
    </row>
    <row r="388" spans="1:8">
      <c r="A388" t="s">
        <v>492</v>
      </c>
      <c r="B388" t="s">
        <v>483</v>
      </c>
      <c r="C388" t="s">
        <v>484</v>
      </c>
      <c r="D388" s="3">
        <v>45536</v>
      </c>
      <c r="E388">
        <v>0</v>
      </c>
      <c r="F388">
        <v>0</v>
      </c>
      <c r="G388" t="s">
        <v>78</v>
      </c>
      <c r="H388" t="s">
        <v>68</v>
      </c>
    </row>
    <row r="389" spans="1:8">
      <c r="A389" t="s">
        <v>493</v>
      </c>
      <c r="B389" t="s">
        <v>483</v>
      </c>
      <c r="C389" t="s">
        <v>484</v>
      </c>
      <c r="D389" s="3">
        <v>45566</v>
      </c>
      <c r="E389">
        <v>3</v>
      </c>
      <c r="F389">
        <v>0</v>
      </c>
      <c r="G389" t="s">
        <v>67</v>
      </c>
      <c r="H389" t="s">
        <v>68</v>
      </c>
    </row>
    <row r="390" spans="1:8">
      <c r="A390" t="s">
        <v>494</v>
      </c>
      <c r="B390" t="s">
        <v>483</v>
      </c>
      <c r="C390" t="s">
        <v>484</v>
      </c>
      <c r="D390" s="3">
        <v>45597</v>
      </c>
      <c r="E390">
        <v>0</v>
      </c>
      <c r="F390">
        <v>4</v>
      </c>
      <c r="G390" t="s">
        <v>71</v>
      </c>
      <c r="H390" t="s">
        <v>68</v>
      </c>
    </row>
    <row r="391" spans="1:8">
      <c r="A391" t="s">
        <v>495</v>
      </c>
      <c r="B391" t="s">
        <v>483</v>
      </c>
      <c r="C391" t="s">
        <v>484</v>
      </c>
      <c r="D391" s="3">
        <v>45627</v>
      </c>
      <c r="E391">
        <v>3</v>
      </c>
      <c r="F391">
        <v>2</v>
      </c>
      <c r="G391" t="s">
        <v>73</v>
      </c>
      <c r="H391" t="s">
        <v>68</v>
      </c>
    </row>
    <row r="392" spans="1:8">
      <c r="A392" t="s">
        <v>496</v>
      </c>
      <c r="B392" t="s">
        <v>483</v>
      </c>
      <c r="C392" t="s">
        <v>484</v>
      </c>
      <c r="D392" s="3">
        <v>45658</v>
      </c>
      <c r="E392">
        <v>1</v>
      </c>
      <c r="F392">
        <v>0</v>
      </c>
      <c r="G392" t="s">
        <v>67</v>
      </c>
      <c r="H392" t="s">
        <v>68</v>
      </c>
    </row>
    <row r="393" spans="1:8">
      <c r="A393" t="s">
        <v>497</v>
      </c>
      <c r="B393" t="s">
        <v>483</v>
      </c>
      <c r="C393" t="s">
        <v>484</v>
      </c>
      <c r="D393" s="3">
        <v>45689</v>
      </c>
      <c r="E393">
        <v>4</v>
      </c>
      <c r="F393">
        <v>0</v>
      </c>
      <c r="G393" t="s">
        <v>78</v>
      </c>
      <c r="H393" t="s">
        <v>68</v>
      </c>
    </row>
    <row r="394" spans="1:8">
      <c r="A394" t="s">
        <v>498</v>
      </c>
      <c r="B394" t="s">
        <v>483</v>
      </c>
      <c r="C394" t="s">
        <v>484</v>
      </c>
      <c r="D394" s="3">
        <v>45717</v>
      </c>
      <c r="E394">
        <v>3</v>
      </c>
      <c r="F394">
        <v>5</v>
      </c>
      <c r="G394" t="s">
        <v>78</v>
      </c>
      <c r="H394" t="s">
        <v>68</v>
      </c>
    </row>
    <row r="395" spans="1:8">
      <c r="A395" t="s">
        <v>499</v>
      </c>
      <c r="B395" t="s">
        <v>483</v>
      </c>
      <c r="C395" t="s">
        <v>484</v>
      </c>
      <c r="D395" s="3">
        <v>45748</v>
      </c>
      <c r="E395">
        <v>0</v>
      </c>
      <c r="F395">
        <v>1</v>
      </c>
      <c r="G395" t="s">
        <v>71</v>
      </c>
      <c r="H395" t="s">
        <v>68</v>
      </c>
    </row>
    <row r="396" spans="1:8">
      <c r="A396" t="s">
        <v>500</v>
      </c>
      <c r="B396" t="s">
        <v>483</v>
      </c>
      <c r="C396" t="s">
        <v>484</v>
      </c>
      <c r="D396" s="3">
        <v>45778</v>
      </c>
      <c r="E396">
        <v>0</v>
      </c>
      <c r="F396">
        <v>0</v>
      </c>
      <c r="G396" t="s">
        <v>67</v>
      </c>
      <c r="H396" t="s">
        <v>68</v>
      </c>
    </row>
    <row r="397" spans="1:8">
      <c r="A397" t="s">
        <v>501</v>
      </c>
      <c r="B397" t="s">
        <v>483</v>
      </c>
      <c r="C397" t="s">
        <v>484</v>
      </c>
      <c r="D397" s="3">
        <v>45809</v>
      </c>
      <c r="E397">
        <v>6</v>
      </c>
      <c r="F397">
        <v>5</v>
      </c>
      <c r="G397" t="s">
        <v>78</v>
      </c>
      <c r="H397" t="s">
        <v>68</v>
      </c>
    </row>
    <row r="398" spans="1:8">
      <c r="A398" t="s">
        <v>502</v>
      </c>
      <c r="B398" t="s">
        <v>503</v>
      </c>
      <c r="C398" t="s">
        <v>504</v>
      </c>
      <c r="D398" s="3">
        <v>45292</v>
      </c>
      <c r="E398">
        <v>11</v>
      </c>
      <c r="F398">
        <v>8</v>
      </c>
      <c r="G398" t="s">
        <v>67</v>
      </c>
      <c r="H398" t="s">
        <v>68</v>
      </c>
    </row>
    <row r="399" spans="1:8">
      <c r="A399" t="s">
        <v>505</v>
      </c>
      <c r="B399" t="s">
        <v>503</v>
      </c>
      <c r="C399" t="s">
        <v>504</v>
      </c>
      <c r="D399" s="3">
        <v>45323</v>
      </c>
      <c r="E399">
        <v>12</v>
      </c>
      <c r="F399">
        <v>10</v>
      </c>
      <c r="G399" t="s">
        <v>78</v>
      </c>
      <c r="H399" t="s">
        <v>68</v>
      </c>
    </row>
    <row r="400" spans="1:8">
      <c r="A400" t="s">
        <v>506</v>
      </c>
      <c r="B400" t="s">
        <v>503</v>
      </c>
      <c r="C400" t="s">
        <v>504</v>
      </c>
      <c r="D400" s="3">
        <v>45352</v>
      </c>
      <c r="E400">
        <v>50</v>
      </c>
      <c r="F400">
        <v>52</v>
      </c>
      <c r="G400" t="s">
        <v>71</v>
      </c>
      <c r="H400" t="s">
        <v>68</v>
      </c>
    </row>
    <row r="401" spans="1:8">
      <c r="A401" t="s">
        <v>507</v>
      </c>
      <c r="B401" t="s">
        <v>503</v>
      </c>
      <c r="C401" t="s">
        <v>504</v>
      </c>
      <c r="D401" s="3">
        <v>45383</v>
      </c>
      <c r="E401">
        <v>18</v>
      </c>
      <c r="F401">
        <v>22</v>
      </c>
      <c r="G401" t="s">
        <v>73</v>
      </c>
      <c r="H401" t="s">
        <v>68</v>
      </c>
    </row>
    <row r="402" spans="1:8">
      <c r="A402" t="s">
        <v>508</v>
      </c>
      <c r="B402" t="s">
        <v>503</v>
      </c>
      <c r="C402" t="s">
        <v>504</v>
      </c>
      <c r="D402" s="3">
        <v>45413</v>
      </c>
      <c r="E402">
        <v>1</v>
      </c>
      <c r="F402">
        <v>0</v>
      </c>
      <c r="G402" t="s">
        <v>73</v>
      </c>
      <c r="H402" t="s">
        <v>68</v>
      </c>
    </row>
    <row r="403" spans="1:8">
      <c r="A403" t="s">
        <v>509</v>
      </c>
      <c r="B403" t="s">
        <v>503</v>
      </c>
      <c r="C403" t="s">
        <v>504</v>
      </c>
      <c r="D403" s="3">
        <v>45444</v>
      </c>
      <c r="E403">
        <v>18</v>
      </c>
      <c r="F403">
        <v>15</v>
      </c>
      <c r="G403" t="s">
        <v>73</v>
      </c>
      <c r="H403" t="s">
        <v>68</v>
      </c>
    </row>
    <row r="404" spans="1:8">
      <c r="A404" t="s">
        <v>510</v>
      </c>
      <c r="B404" t="s">
        <v>503</v>
      </c>
      <c r="C404" t="s">
        <v>504</v>
      </c>
      <c r="D404" s="3">
        <v>45474</v>
      </c>
      <c r="E404">
        <v>40</v>
      </c>
      <c r="F404">
        <v>38</v>
      </c>
      <c r="G404" t="s">
        <v>73</v>
      </c>
      <c r="H404" t="s">
        <v>68</v>
      </c>
    </row>
    <row r="405" spans="1:8">
      <c r="A405" t="s">
        <v>511</v>
      </c>
      <c r="B405" t="s">
        <v>503</v>
      </c>
      <c r="C405" t="s">
        <v>504</v>
      </c>
      <c r="D405" s="3">
        <v>45505</v>
      </c>
      <c r="E405">
        <v>0</v>
      </c>
      <c r="F405">
        <v>3</v>
      </c>
      <c r="G405" t="s">
        <v>71</v>
      </c>
      <c r="H405" t="s">
        <v>68</v>
      </c>
    </row>
    <row r="406" spans="1:8">
      <c r="A406" t="s">
        <v>512</v>
      </c>
      <c r="B406" t="s">
        <v>503</v>
      </c>
      <c r="C406" t="s">
        <v>504</v>
      </c>
      <c r="D406" s="3">
        <v>45536</v>
      </c>
      <c r="E406">
        <v>6</v>
      </c>
      <c r="F406">
        <v>6</v>
      </c>
      <c r="G406" t="s">
        <v>67</v>
      </c>
      <c r="H406" t="s">
        <v>68</v>
      </c>
    </row>
    <row r="407" spans="1:8">
      <c r="A407" t="s">
        <v>513</v>
      </c>
      <c r="B407" t="s">
        <v>503</v>
      </c>
      <c r="C407" t="s">
        <v>504</v>
      </c>
      <c r="D407" s="3">
        <v>45566</v>
      </c>
      <c r="E407">
        <v>32</v>
      </c>
      <c r="F407">
        <v>35</v>
      </c>
      <c r="G407" t="s">
        <v>67</v>
      </c>
      <c r="H407" t="s">
        <v>68</v>
      </c>
    </row>
    <row r="408" spans="1:8">
      <c r="A408" t="s">
        <v>514</v>
      </c>
      <c r="B408" t="s">
        <v>503</v>
      </c>
      <c r="C408" t="s">
        <v>504</v>
      </c>
      <c r="D408" s="3">
        <v>45597</v>
      </c>
      <c r="E408">
        <v>18</v>
      </c>
      <c r="F408">
        <v>23</v>
      </c>
      <c r="G408" t="s">
        <v>67</v>
      </c>
      <c r="H408" t="s">
        <v>68</v>
      </c>
    </row>
    <row r="409" spans="1:8">
      <c r="A409" t="s">
        <v>515</v>
      </c>
      <c r="B409" t="s">
        <v>503</v>
      </c>
      <c r="C409" t="s">
        <v>504</v>
      </c>
      <c r="D409" s="3">
        <v>45627</v>
      </c>
      <c r="E409">
        <v>7</v>
      </c>
      <c r="F409">
        <v>4</v>
      </c>
      <c r="G409" t="s">
        <v>78</v>
      </c>
      <c r="H409" t="s">
        <v>68</v>
      </c>
    </row>
    <row r="410" spans="1:8">
      <c r="A410" t="s">
        <v>516</v>
      </c>
      <c r="B410" t="s">
        <v>503</v>
      </c>
      <c r="C410" t="s">
        <v>504</v>
      </c>
      <c r="D410" s="3">
        <v>45658</v>
      </c>
      <c r="E410">
        <v>15</v>
      </c>
      <c r="F410">
        <v>20</v>
      </c>
      <c r="G410" t="s">
        <v>71</v>
      </c>
      <c r="H410" t="s">
        <v>68</v>
      </c>
    </row>
    <row r="411" spans="1:8">
      <c r="A411" t="s">
        <v>517</v>
      </c>
      <c r="B411" t="s">
        <v>503</v>
      </c>
      <c r="C411" t="s">
        <v>504</v>
      </c>
      <c r="D411" s="3">
        <v>45689</v>
      </c>
      <c r="E411">
        <v>22</v>
      </c>
      <c r="F411">
        <v>27</v>
      </c>
      <c r="G411" t="s">
        <v>73</v>
      </c>
      <c r="H411" t="s">
        <v>68</v>
      </c>
    </row>
    <row r="412" spans="1:8">
      <c r="A412" t="s">
        <v>518</v>
      </c>
      <c r="B412" t="s">
        <v>503</v>
      </c>
      <c r="C412" t="s">
        <v>504</v>
      </c>
      <c r="D412" s="3">
        <v>45717</v>
      </c>
      <c r="E412">
        <v>2</v>
      </c>
      <c r="F412">
        <v>7</v>
      </c>
      <c r="G412" t="s">
        <v>78</v>
      </c>
      <c r="H412" t="s">
        <v>68</v>
      </c>
    </row>
    <row r="413" spans="1:8">
      <c r="A413" t="s">
        <v>519</v>
      </c>
      <c r="B413" t="s">
        <v>503</v>
      </c>
      <c r="C413" t="s">
        <v>504</v>
      </c>
      <c r="D413" s="3">
        <v>45748</v>
      </c>
      <c r="E413">
        <v>14</v>
      </c>
      <c r="F413">
        <v>19</v>
      </c>
      <c r="G413" t="s">
        <v>78</v>
      </c>
      <c r="H413" t="s">
        <v>68</v>
      </c>
    </row>
    <row r="414" spans="1:8">
      <c r="A414" t="s">
        <v>520</v>
      </c>
      <c r="B414" t="s">
        <v>503</v>
      </c>
      <c r="C414" t="s">
        <v>504</v>
      </c>
      <c r="D414" s="3">
        <v>45778</v>
      </c>
      <c r="E414">
        <v>13</v>
      </c>
      <c r="F414">
        <v>12</v>
      </c>
      <c r="G414" t="s">
        <v>78</v>
      </c>
      <c r="H414" t="s">
        <v>68</v>
      </c>
    </row>
    <row r="415" spans="1:8">
      <c r="A415" t="s">
        <v>521</v>
      </c>
      <c r="B415" t="s">
        <v>503</v>
      </c>
      <c r="C415" t="s">
        <v>504</v>
      </c>
      <c r="D415" s="3">
        <v>45809</v>
      </c>
      <c r="E415">
        <v>14</v>
      </c>
      <c r="F415">
        <v>14</v>
      </c>
      <c r="G415" t="s">
        <v>71</v>
      </c>
      <c r="H415" t="s">
        <v>68</v>
      </c>
    </row>
    <row r="416" spans="1:8">
      <c r="A416" t="s">
        <v>522</v>
      </c>
      <c r="B416" t="s">
        <v>43</v>
      </c>
      <c r="C416" t="s">
        <v>523</v>
      </c>
      <c r="D416" s="3">
        <v>45292</v>
      </c>
      <c r="E416">
        <v>247</v>
      </c>
      <c r="F416">
        <v>242</v>
      </c>
      <c r="G416" t="s">
        <v>78</v>
      </c>
      <c r="H416" t="s">
        <v>68</v>
      </c>
    </row>
    <row r="417" spans="1:8">
      <c r="A417" t="s">
        <v>524</v>
      </c>
      <c r="B417" t="s">
        <v>43</v>
      </c>
      <c r="C417" t="s">
        <v>523</v>
      </c>
      <c r="D417" s="3">
        <v>45323</v>
      </c>
      <c r="E417">
        <v>298</v>
      </c>
      <c r="F417">
        <v>297</v>
      </c>
      <c r="G417" t="s">
        <v>71</v>
      </c>
      <c r="H417" t="s">
        <v>68</v>
      </c>
    </row>
    <row r="418" spans="1:8">
      <c r="A418" t="s">
        <v>525</v>
      </c>
      <c r="B418" t="s">
        <v>43</v>
      </c>
      <c r="C418" t="s">
        <v>523</v>
      </c>
      <c r="D418" s="3">
        <v>45352</v>
      </c>
      <c r="E418">
        <v>186</v>
      </c>
      <c r="F418">
        <v>182</v>
      </c>
      <c r="G418" t="s">
        <v>73</v>
      </c>
      <c r="H418" t="s">
        <v>68</v>
      </c>
    </row>
    <row r="419" spans="1:8">
      <c r="A419" t="s">
        <v>526</v>
      </c>
      <c r="B419" t="s">
        <v>43</v>
      </c>
      <c r="C419" t="s">
        <v>523</v>
      </c>
      <c r="D419" s="3">
        <v>45383</v>
      </c>
      <c r="E419">
        <v>161</v>
      </c>
      <c r="F419">
        <v>163</v>
      </c>
      <c r="G419" t="s">
        <v>71</v>
      </c>
      <c r="H419" t="s">
        <v>68</v>
      </c>
    </row>
    <row r="420" spans="1:8">
      <c r="A420" t="s">
        <v>527</v>
      </c>
      <c r="B420" t="s">
        <v>43</v>
      </c>
      <c r="C420" t="s">
        <v>523</v>
      </c>
      <c r="D420" s="3">
        <v>45413</v>
      </c>
      <c r="E420">
        <v>173</v>
      </c>
      <c r="F420">
        <v>178</v>
      </c>
      <c r="G420" t="s">
        <v>67</v>
      </c>
      <c r="H420" t="s">
        <v>68</v>
      </c>
    </row>
    <row r="421" spans="1:8">
      <c r="A421" t="s">
        <v>528</v>
      </c>
      <c r="B421" t="s">
        <v>43</v>
      </c>
      <c r="C421" t="s">
        <v>523</v>
      </c>
      <c r="D421" s="3">
        <v>45444</v>
      </c>
      <c r="E421">
        <v>258</v>
      </c>
      <c r="F421">
        <v>258</v>
      </c>
      <c r="G421" t="s">
        <v>73</v>
      </c>
      <c r="H421" t="s">
        <v>68</v>
      </c>
    </row>
    <row r="422" spans="1:8">
      <c r="A422" t="s">
        <v>529</v>
      </c>
      <c r="B422" t="s">
        <v>43</v>
      </c>
      <c r="C422" t="s">
        <v>523</v>
      </c>
      <c r="D422" s="3">
        <v>45474</v>
      </c>
      <c r="E422">
        <v>131</v>
      </c>
      <c r="F422">
        <v>133</v>
      </c>
      <c r="G422" t="s">
        <v>71</v>
      </c>
      <c r="H422" t="s">
        <v>68</v>
      </c>
    </row>
    <row r="423" spans="1:8">
      <c r="A423" t="s">
        <v>530</v>
      </c>
      <c r="B423" t="s">
        <v>43</v>
      </c>
      <c r="C423" t="s">
        <v>523</v>
      </c>
      <c r="D423" s="3">
        <v>45505</v>
      </c>
      <c r="E423">
        <v>224</v>
      </c>
      <c r="F423">
        <v>224</v>
      </c>
      <c r="G423" t="s">
        <v>71</v>
      </c>
      <c r="H423" t="s">
        <v>68</v>
      </c>
    </row>
    <row r="424" spans="1:8">
      <c r="A424" t="s">
        <v>531</v>
      </c>
      <c r="B424" t="s">
        <v>43</v>
      </c>
      <c r="C424" t="s">
        <v>523</v>
      </c>
      <c r="D424" s="3">
        <v>45536</v>
      </c>
      <c r="E424">
        <v>195</v>
      </c>
      <c r="F424">
        <v>193</v>
      </c>
      <c r="G424" t="s">
        <v>73</v>
      </c>
      <c r="H424" t="s">
        <v>68</v>
      </c>
    </row>
    <row r="425" spans="1:8">
      <c r="A425" t="s">
        <v>532</v>
      </c>
      <c r="B425" t="s">
        <v>43</v>
      </c>
      <c r="C425" t="s">
        <v>523</v>
      </c>
      <c r="D425" s="3">
        <v>45566</v>
      </c>
      <c r="E425">
        <v>213</v>
      </c>
      <c r="F425">
        <v>215</v>
      </c>
      <c r="G425" t="s">
        <v>67</v>
      </c>
      <c r="H425" t="s">
        <v>68</v>
      </c>
    </row>
    <row r="426" spans="1:8">
      <c r="A426" t="s">
        <v>533</v>
      </c>
      <c r="B426" t="s">
        <v>43</v>
      </c>
      <c r="C426" t="s">
        <v>523</v>
      </c>
      <c r="D426" s="3">
        <v>45597</v>
      </c>
      <c r="E426">
        <v>150</v>
      </c>
      <c r="F426">
        <v>151</v>
      </c>
      <c r="G426" t="s">
        <v>73</v>
      </c>
      <c r="H426" t="s">
        <v>68</v>
      </c>
    </row>
    <row r="427" spans="1:8">
      <c r="A427" t="s">
        <v>534</v>
      </c>
      <c r="B427" t="s">
        <v>43</v>
      </c>
      <c r="C427" t="s">
        <v>523</v>
      </c>
      <c r="D427" s="3">
        <v>45627</v>
      </c>
      <c r="E427">
        <v>270</v>
      </c>
      <c r="F427">
        <v>270</v>
      </c>
      <c r="G427" t="s">
        <v>71</v>
      </c>
      <c r="H427" t="s">
        <v>68</v>
      </c>
    </row>
    <row r="428" spans="1:8">
      <c r="A428" t="s">
        <v>535</v>
      </c>
      <c r="B428" t="s">
        <v>43</v>
      </c>
      <c r="C428" t="s">
        <v>523</v>
      </c>
      <c r="D428" s="3">
        <v>45658</v>
      </c>
      <c r="E428">
        <v>211</v>
      </c>
      <c r="F428">
        <v>207</v>
      </c>
      <c r="G428" t="s">
        <v>78</v>
      </c>
      <c r="H428" t="s">
        <v>68</v>
      </c>
    </row>
    <row r="429" spans="1:8">
      <c r="A429" t="s">
        <v>536</v>
      </c>
      <c r="B429" t="s">
        <v>43</v>
      </c>
      <c r="C429" t="s">
        <v>523</v>
      </c>
      <c r="D429" s="3">
        <v>45689</v>
      </c>
      <c r="E429">
        <v>137</v>
      </c>
      <c r="F429">
        <v>133</v>
      </c>
      <c r="G429" t="s">
        <v>73</v>
      </c>
      <c r="H429" t="s">
        <v>68</v>
      </c>
    </row>
    <row r="430" spans="1:8">
      <c r="A430" t="s">
        <v>537</v>
      </c>
      <c r="B430" t="s">
        <v>43</v>
      </c>
      <c r="C430" t="s">
        <v>523</v>
      </c>
      <c r="D430" s="3">
        <v>45717</v>
      </c>
      <c r="E430">
        <v>173</v>
      </c>
      <c r="F430">
        <v>178</v>
      </c>
      <c r="G430" t="s">
        <v>67</v>
      </c>
      <c r="H430" t="s">
        <v>68</v>
      </c>
    </row>
    <row r="431" spans="1:8">
      <c r="A431" t="s">
        <v>538</v>
      </c>
      <c r="B431" t="s">
        <v>43</v>
      </c>
      <c r="C431" t="s">
        <v>523</v>
      </c>
      <c r="D431" s="3">
        <v>45748</v>
      </c>
      <c r="E431">
        <v>243</v>
      </c>
      <c r="F431">
        <v>243</v>
      </c>
      <c r="G431" t="s">
        <v>71</v>
      </c>
      <c r="H431" t="s">
        <v>68</v>
      </c>
    </row>
    <row r="432" spans="1:8">
      <c r="A432" t="s">
        <v>539</v>
      </c>
      <c r="B432" t="s">
        <v>43</v>
      </c>
      <c r="C432" t="s">
        <v>523</v>
      </c>
      <c r="D432" s="3">
        <v>45778</v>
      </c>
      <c r="E432">
        <v>157</v>
      </c>
      <c r="F432">
        <v>157</v>
      </c>
      <c r="G432" t="s">
        <v>78</v>
      </c>
      <c r="H432" t="s">
        <v>68</v>
      </c>
    </row>
    <row r="433" spans="1:8">
      <c r="A433" t="s">
        <v>540</v>
      </c>
      <c r="B433" t="s">
        <v>43</v>
      </c>
      <c r="C433" t="s">
        <v>523</v>
      </c>
      <c r="D433" s="3">
        <v>45809</v>
      </c>
      <c r="E433">
        <v>159</v>
      </c>
      <c r="F433">
        <v>164</v>
      </c>
      <c r="G433" t="s">
        <v>73</v>
      </c>
      <c r="H433" t="s">
        <v>68</v>
      </c>
    </row>
    <row r="434" spans="1:8">
      <c r="D434" s="3"/>
    </row>
    <row r="435" spans="1:8">
      <c r="D435" s="3"/>
    </row>
    <row r="436" spans="1:8">
      <c r="D436" s="3"/>
    </row>
    <row r="437" spans="1:8">
      <c r="D437" s="3"/>
    </row>
    <row r="438" spans="1:8">
      <c r="D438" s="3"/>
    </row>
    <row r="439" spans="1:8">
      <c r="D439" s="3"/>
    </row>
    <row r="440" spans="1:8">
      <c r="D440" s="3"/>
    </row>
    <row r="441" spans="1:8">
      <c r="D441" s="3"/>
    </row>
    <row r="442" spans="1:8">
      <c r="D442" s="3"/>
    </row>
    <row r="443" spans="1:8">
      <c r="D443" s="3"/>
    </row>
    <row r="444" spans="1:8">
      <c r="D444" s="3"/>
    </row>
    <row r="445" spans="1:8">
      <c r="D445" s="3"/>
    </row>
    <row r="446" spans="1:8">
      <c r="D446" s="3"/>
    </row>
    <row r="447" spans="1:8">
      <c r="D447" s="3"/>
    </row>
    <row r="448" spans="1:8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workbookViewId="0"/>
  </sheetViews>
  <sheetFormatPr baseColWidth="10" defaultColWidth="8.83203125" defaultRowHeight="15"/>
  <cols>
    <col min="1" max="3" width="16" customWidth="1"/>
    <col min="4" max="4" width="28" customWidth="1"/>
    <col min="5" max="12" width="16" customWidth="1"/>
  </cols>
  <sheetData>
    <row r="1" spans="1:12" ht="32" customHeight="1">
      <c r="A1" s="2" t="s">
        <v>58</v>
      </c>
      <c r="B1" s="2" t="s">
        <v>541</v>
      </c>
      <c r="C1" s="2" t="s">
        <v>542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543</v>
      </c>
      <c r="K1" s="2" t="s">
        <v>544</v>
      </c>
      <c r="L1" s="2" t="s">
        <v>545</v>
      </c>
    </row>
    <row r="2" spans="1:12">
      <c r="A2" t="s">
        <v>65</v>
      </c>
      <c r="B2" t="s">
        <v>45</v>
      </c>
      <c r="C2" t="s">
        <v>45</v>
      </c>
      <c r="D2" t="s">
        <v>66</v>
      </c>
      <c r="E2" s="3">
        <v>45292</v>
      </c>
      <c r="F2">
        <v>92</v>
      </c>
      <c r="G2">
        <v>91</v>
      </c>
      <c r="H2" t="s">
        <v>67</v>
      </c>
      <c r="I2" t="s">
        <v>68</v>
      </c>
      <c r="J2">
        <v>2024</v>
      </c>
      <c r="K2">
        <v>1</v>
      </c>
      <c r="L2" s="3">
        <v>45292</v>
      </c>
    </row>
    <row r="3" spans="1:12">
      <c r="A3" t="s">
        <v>69</v>
      </c>
      <c r="B3" t="s">
        <v>45</v>
      </c>
      <c r="C3" t="s">
        <v>45</v>
      </c>
      <c r="D3" t="s">
        <v>66</v>
      </c>
      <c r="E3" s="3">
        <v>45323</v>
      </c>
      <c r="F3">
        <v>95</v>
      </c>
      <c r="G3">
        <v>93</v>
      </c>
      <c r="H3" t="s">
        <v>67</v>
      </c>
      <c r="I3" t="s">
        <v>68</v>
      </c>
      <c r="J3">
        <v>2024</v>
      </c>
      <c r="K3">
        <v>2</v>
      </c>
      <c r="L3" s="3">
        <v>45323</v>
      </c>
    </row>
    <row r="4" spans="1:12">
      <c r="A4" t="s">
        <v>70</v>
      </c>
      <c r="B4" t="s">
        <v>45</v>
      </c>
      <c r="C4" t="s">
        <v>45</v>
      </c>
      <c r="D4" t="s">
        <v>66</v>
      </c>
      <c r="E4" s="3">
        <v>45352</v>
      </c>
      <c r="F4">
        <v>100</v>
      </c>
      <c r="G4">
        <v>103</v>
      </c>
      <c r="H4" t="s">
        <v>71</v>
      </c>
      <c r="I4" t="s">
        <v>68</v>
      </c>
      <c r="J4">
        <v>2024</v>
      </c>
      <c r="K4">
        <v>3</v>
      </c>
      <c r="L4" s="3">
        <v>45352</v>
      </c>
    </row>
    <row r="5" spans="1:12">
      <c r="A5" t="s">
        <v>72</v>
      </c>
      <c r="B5" t="s">
        <v>45</v>
      </c>
      <c r="C5" t="s">
        <v>45</v>
      </c>
      <c r="D5" t="s">
        <v>66</v>
      </c>
      <c r="E5" s="3">
        <v>45383</v>
      </c>
      <c r="F5">
        <v>74</v>
      </c>
      <c r="G5">
        <v>78</v>
      </c>
      <c r="H5" t="s">
        <v>73</v>
      </c>
      <c r="I5" t="s">
        <v>68</v>
      </c>
      <c r="J5">
        <v>2024</v>
      </c>
      <c r="K5">
        <v>4</v>
      </c>
      <c r="L5" s="3">
        <v>45383</v>
      </c>
    </row>
    <row r="6" spans="1:12">
      <c r="A6" t="s">
        <v>74</v>
      </c>
      <c r="B6" t="s">
        <v>45</v>
      </c>
      <c r="C6" t="s">
        <v>45</v>
      </c>
      <c r="D6" t="s">
        <v>66</v>
      </c>
      <c r="E6" s="3">
        <v>45413</v>
      </c>
      <c r="F6">
        <v>119</v>
      </c>
      <c r="G6">
        <v>117</v>
      </c>
      <c r="H6" t="s">
        <v>71</v>
      </c>
      <c r="I6" t="s">
        <v>68</v>
      </c>
      <c r="J6">
        <v>2024</v>
      </c>
      <c r="K6">
        <v>5</v>
      </c>
      <c r="L6" s="3">
        <v>45413</v>
      </c>
    </row>
    <row r="7" spans="1:12">
      <c r="A7" t="s">
        <v>75</v>
      </c>
      <c r="B7" t="s">
        <v>45</v>
      </c>
      <c r="C7" t="s">
        <v>45</v>
      </c>
      <c r="D7" t="s">
        <v>66</v>
      </c>
      <c r="E7" s="3">
        <v>45444</v>
      </c>
      <c r="F7">
        <v>115</v>
      </c>
      <c r="G7">
        <v>118</v>
      </c>
      <c r="H7" t="s">
        <v>67</v>
      </c>
      <c r="I7" t="s">
        <v>68</v>
      </c>
      <c r="J7">
        <v>2024</v>
      </c>
      <c r="K7">
        <v>6</v>
      </c>
      <c r="L7" s="3">
        <v>45444</v>
      </c>
    </row>
    <row r="8" spans="1:12">
      <c r="A8" t="s">
        <v>76</v>
      </c>
      <c r="B8" t="s">
        <v>45</v>
      </c>
      <c r="C8" t="s">
        <v>45</v>
      </c>
      <c r="D8" t="s">
        <v>66</v>
      </c>
      <c r="E8" s="3">
        <v>45474</v>
      </c>
      <c r="F8">
        <v>110</v>
      </c>
      <c r="G8">
        <v>111</v>
      </c>
      <c r="H8" t="s">
        <v>67</v>
      </c>
      <c r="I8" t="s">
        <v>68</v>
      </c>
      <c r="J8">
        <v>2024</v>
      </c>
      <c r="K8">
        <v>7</v>
      </c>
      <c r="L8" s="3">
        <v>45474</v>
      </c>
    </row>
    <row r="9" spans="1:12">
      <c r="A9" t="s">
        <v>77</v>
      </c>
      <c r="B9" t="s">
        <v>45</v>
      </c>
      <c r="C9" t="s">
        <v>45</v>
      </c>
      <c r="D9" t="s">
        <v>66</v>
      </c>
      <c r="E9" s="3">
        <v>45505</v>
      </c>
      <c r="F9">
        <v>88</v>
      </c>
      <c r="G9">
        <v>90</v>
      </c>
      <c r="H9" t="s">
        <v>78</v>
      </c>
      <c r="I9" t="s">
        <v>68</v>
      </c>
      <c r="J9">
        <v>2024</v>
      </c>
      <c r="K9">
        <v>8</v>
      </c>
      <c r="L9" s="3">
        <v>45505</v>
      </c>
    </row>
    <row r="10" spans="1:12">
      <c r="A10" t="s">
        <v>79</v>
      </c>
      <c r="B10" t="s">
        <v>45</v>
      </c>
      <c r="C10" t="s">
        <v>45</v>
      </c>
      <c r="D10" t="s">
        <v>66</v>
      </c>
      <c r="E10" s="3">
        <v>45536</v>
      </c>
      <c r="F10">
        <v>125</v>
      </c>
      <c r="G10">
        <v>122</v>
      </c>
      <c r="H10" t="s">
        <v>73</v>
      </c>
      <c r="I10" t="s">
        <v>68</v>
      </c>
      <c r="J10">
        <v>2024</v>
      </c>
      <c r="K10">
        <v>9</v>
      </c>
      <c r="L10" s="3">
        <v>45536</v>
      </c>
    </row>
    <row r="11" spans="1:12">
      <c r="A11" t="s">
        <v>80</v>
      </c>
      <c r="B11" t="s">
        <v>45</v>
      </c>
      <c r="C11" t="s">
        <v>45</v>
      </c>
      <c r="D11" t="s">
        <v>66</v>
      </c>
      <c r="E11" s="3">
        <v>45566</v>
      </c>
      <c r="F11">
        <v>126</v>
      </c>
      <c r="G11">
        <v>126</v>
      </c>
      <c r="H11" t="s">
        <v>78</v>
      </c>
      <c r="I11" t="s">
        <v>68</v>
      </c>
      <c r="J11">
        <v>2024</v>
      </c>
      <c r="K11">
        <v>10</v>
      </c>
      <c r="L11" s="3">
        <v>45566</v>
      </c>
    </row>
    <row r="12" spans="1:12">
      <c r="A12" t="s">
        <v>81</v>
      </c>
      <c r="B12" t="s">
        <v>45</v>
      </c>
      <c r="C12" t="s">
        <v>45</v>
      </c>
      <c r="D12" t="s">
        <v>66</v>
      </c>
      <c r="E12" s="3">
        <v>45597</v>
      </c>
      <c r="F12">
        <v>162</v>
      </c>
      <c r="G12">
        <v>162</v>
      </c>
      <c r="H12" t="s">
        <v>71</v>
      </c>
      <c r="I12" t="s">
        <v>68</v>
      </c>
      <c r="J12">
        <v>2024</v>
      </c>
      <c r="K12">
        <v>11</v>
      </c>
      <c r="L12" s="3">
        <v>45597</v>
      </c>
    </row>
    <row r="13" spans="1:12">
      <c r="A13" t="s">
        <v>82</v>
      </c>
      <c r="B13" t="s">
        <v>45</v>
      </c>
      <c r="C13" t="s">
        <v>45</v>
      </c>
      <c r="D13" t="s">
        <v>66</v>
      </c>
      <c r="E13" s="3">
        <v>45627</v>
      </c>
      <c r="F13">
        <v>180</v>
      </c>
      <c r="G13">
        <v>176</v>
      </c>
      <c r="H13" t="s">
        <v>73</v>
      </c>
      <c r="I13" t="s">
        <v>68</v>
      </c>
      <c r="J13">
        <v>2024</v>
      </c>
      <c r="K13">
        <v>12</v>
      </c>
      <c r="L13" s="3">
        <v>45627</v>
      </c>
    </row>
    <row r="14" spans="1:12">
      <c r="A14" t="s">
        <v>83</v>
      </c>
      <c r="B14" t="s">
        <v>45</v>
      </c>
      <c r="C14" t="s">
        <v>45</v>
      </c>
      <c r="D14" t="s">
        <v>66</v>
      </c>
      <c r="E14" s="3">
        <v>45658</v>
      </c>
      <c r="F14">
        <v>173</v>
      </c>
      <c r="G14">
        <v>177</v>
      </c>
      <c r="H14" t="s">
        <v>78</v>
      </c>
      <c r="I14" t="s">
        <v>68</v>
      </c>
      <c r="J14">
        <v>2025</v>
      </c>
      <c r="K14">
        <v>1</v>
      </c>
      <c r="L14" s="3">
        <v>45658</v>
      </c>
    </row>
    <row r="15" spans="1:12">
      <c r="A15" t="s">
        <v>84</v>
      </c>
      <c r="B15" t="s">
        <v>45</v>
      </c>
      <c r="C15" t="s">
        <v>45</v>
      </c>
      <c r="D15" t="s">
        <v>66</v>
      </c>
      <c r="E15" s="3">
        <v>45689</v>
      </c>
      <c r="F15">
        <v>166</v>
      </c>
      <c r="G15">
        <v>161</v>
      </c>
      <c r="H15" t="s">
        <v>73</v>
      </c>
      <c r="I15" t="s">
        <v>68</v>
      </c>
      <c r="J15">
        <v>2025</v>
      </c>
      <c r="K15">
        <v>2</v>
      </c>
      <c r="L15" s="3">
        <v>45689</v>
      </c>
    </row>
    <row r="16" spans="1:12">
      <c r="A16" t="s">
        <v>85</v>
      </c>
      <c r="B16" t="s">
        <v>45</v>
      </c>
      <c r="C16" t="s">
        <v>45</v>
      </c>
      <c r="D16" t="s">
        <v>66</v>
      </c>
      <c r="E16" s="3">
        <v>45717</v>
      </c>
      <c r="F16">
        <v>89</v>
      </c>
      <c r="G16">
        <v>90</v>
      </c>
      <c r="H16" t="s">
        <v>71</v>
      </c>
      <c r="I16" t="s">
        <v>68</v>
      </c>
      <c r="J16">
        <v>2025</v>
      </c>
      <c r="K16">
        <v>3</v>
      </c>
      <c r="L16" s="3">
        <v>45717</v>
      </c>
    </row>
    <row r="17" spans="1:12">
      <c r="A17" t="s">
        <v>86</v>
      </c>
      <c r="B17" t="s">
        <v>45</v>
      </c>
      <c r="C17" t="s">
        <v>45</v>
      </c>
      <c r="D17" t="s">
        <v>66</v>
      </c>
      <c r="E17" s="3">
        <v>45748</v>
      </c>
      <c r="F17">
        <v>136</v>
      </c>
      <c r="G17">
        <v>139</v>
      </c>
      <c r="H17" t="s">
        <v>78</v>
      </c>
      <c r="I17" t="s">
        <v>68</v>
      </c>
      <c r="J17">
        <v>2025</v>
      </c>
      <c r="K17">
        <v>4</v>
      </c>
      <c r="L17" s="3">
        <v>45748</v>
      </c>
    </row>
    <row r="18" spans="1:12">
      <c r="A18" t="s">
        <v>87</v>
      </c>
      <c r="B18" t="s">
        <v>45</v>
      </c>
      <c r="C18" t="s">
        <v>45</v>
      </c>
      <c r="D18" t="s">
        <v>66</v>
      </c>
      <c r="E18" s="3">
        <v>45778</v>
      </c>
      <c r="F18">
        <v>167</v>
      </c>
      <c r="G18">
        <v>167</v>
      </c>
      <c r="H18" t="s">
        <v>67</v>
      </c>
      <c r="I18" t="s">
        <v>68</v>
      </c>
      <c r="J18">
        <v>2025</v>
      </c>
      <c r="K18">
        <v>5</v>
      </c>
      <c r="L18" s="3">
        <v>45778</v>
      </c>
    </row>
    <row r="19" spans="1:12">
      <c r="A19" t="s">
        <v>88</v>
      </c>
      <c r="B19" t="s">
        <v>45</v>
      </c>
      <c r="C19" t="s">
        <v>45</v>
      </c>
      <c r="D19" t="s">
        <v>66</v>
      </c>
      <c r="E19" s="3">
        <v>45809</v>
      </c>
      <c r="F19">
        <v>130</v>
      </c>
      <c r="G19">
        <v>126</v>
      </c>
      <c r="H19" t="s">
        <v>71</v>
      </c>
      <c r="I19" t="s">
        <v>68</v>
      </c>
      <c r="J19">
        <v>2025</v>
      </c>
      <c r="K19">
        <v>6</v>
      </c>
      <c r="L19" s="3">
        <v>45809</v>
      </c>
    </row>
    <row r="20" spans="1:12">
      <c r="A20" t="s">
        <v>89</v>
      </c>
      <c r="B20" t="s">
        <v>47</v>
      </c>
      <c r="C20" t="s">
        <v>47</v>
      </c>
      <c r="D20" t="s">
        <v>90</v>
      </c>
      <c r="E20" s="3">
        <v>45292</v>
      </c>
      <c r="F20">
        <v>52</v>
      </c>
      <c r="G20">
        <v>48</v>
      </c>
      <c r="H20" t="s">
        <v>67</v>
      </c>
      <c r="I20" t="s">
        <v>68</v>
      </c>
      <c r="J20">
        <v>2024</v>
      </c>
      <c r="K20">
        <v>1</v>
      </c>
      <c r="L20" s="3">
        <v>45292</v>
      </c>
    </row>
    <row r="21" spans="1:12">
      <c r="A21" t="s">
        <v>91</v>
      </c>
      <c r="B21" t="s">
        <v>47</v>
      </c>
      <c r="C21" t="s">
        <v>47</v>
      </c>
      <c r="D21" t="s">
        <v>90</v>
      </c>
      <c r="E21" s="3">
        <v>45323</v>
      </c>
      <c r="F21">
        <v>43</v>
      </c>
      <c r="G21">
        <v>39</v>
      </c>
      <c r="H21" t="s">
        <v>73</v>
      </c>
      <c r="I21" t="s">
        <v>68</v>
      </c>
      <c r="J21">
        <v>2024</v>
      </c>
      <c r="K21">
        <v>2</v>
      </c>
      <c r="L21" s="3">
        <v>45323</v>
      </c>
    </row>
    <row r="22" spans="1:12">
      <c r="A22" t="s">
        <v>92</v>
      </c>
      <c r="B22" t="s">
        <v>47</v>
      </c>
      <c r="C22" t="s">
        <v>47</v>
      </c>
      <c r="D22" t="s">
        <v>90</v>
      </c>
      <c r="E22" s="3">
        <v>45352</v>
      </c>
      <c r="F22">
        <v>108</v>
      </c>
      <c r="G22">
        <v>108</v>
      </c>
      <c r="H22" t="s">
        <v>67</v>
      </c>
      <c r="I22" t="s">
        <v>68</v>
      </c>
      <c r="J22">
        <v>2024</v>
      </c>
      <c r="K22">
        <v>3</v>
      </c>
      <c r="L22" s="3">
        <v>45352</v>
      </c>
    </row>
    <row r="23" spans="1:12">
      <c r="A23" t="s">
        <v>93</v>
      </c>
      <c r="B23" t="s">
        <v>47</v>
      </c>
      <c r="C23" t="s">
        <v>47</v>
      </c>
      <c r="D23" t="s">
        <v>90</v>
      </c>
      <c r="E23" s="3">
        <v>45383</v>
      </c>
      <c r="F23">
        <v>135</v>
      </c>
      <c r="G23">
        <v>135</v>
      </c>
      <c r="H23" t="s">
        <v>78</v>
      </c>
      <c r="I23" t="s">
        <v>68</v>
      </c>
      <c r="J23">
        <v>2024</v>
      </c>
      <c r="K23">
        <v>4</v>
      </c>
      <c r="L23" s="3">
        <v>45383</v>
      </c>
    </row>
    <row r="24" spans="1:12">
      <c r="A24" t="s">
        <v>94</v>
      </c>
      <c r="B24" t="s">
        <v>47</v>
      </c>
      <c r="C24" t="s">
        <v>47</v>
      </c>
      <c r="D24" t="s">
        <v>90</v>
      </c>
      <c r="E24" s="3">
        <v>45413</v>
      </c>
      <c r="F24">
        <v>93</v>
      </c>
      <c r="G24">
        <v>98</v>
      </c>
      <c r="H24" t="s">
        <v>71</v>
      </c>
      <c r="I24" t="s">
        <v>68</v>
      </c>
      <c r="J24">
        <v>2024</v>
      </c>
      <c r="K24">
        <v>5</v>
      </c>
      <c r="L24" s="3">
        <v>45413</v>
      </c>
    </row>
    <row r="25" spans="1:12">
      <c r="A25" t="s">
        <v>95</v>
      </c>
      <c r="B25" t="s">
        <v>47</v>
      </c>
      <c r="C25" t="s">
        <v>47</v>
      </c>
      <c r="D25" t="s">
        <v>90</v>
      </c>
      <c r="E25" s="3">
        <v>45444</v>
      </c>
      <c r="F25">
        <v>102</v>
      </c>
      <c r="G25">
        <v>106</v>
      </c>
      <c r="H25" t="s">
        <v>67</v>
      </c>
      <c r="I25" t="s">
        <v>68</v>
      </c>
      <c r="J25">
        <v>2024</v>
      </c>
      <c r="K25">
        <v>6</v>
      </c>
      <c r="L25" s="3">
        <v>45444</v>
      </c>
    </row>
    <row r="26" spans="1:12">
      <c r="A26" t="s">
        <v>96</v>
      </c>
      <c r="B26" t="s">
        <v>47</v>
      </c>
      <c r="C26" t="s">
        <v>47</v>
      </c>
      <c r="D26" t="s">
        <v>90</v>
      </c>
      <c r="E26" s="3">
        <v>45474</v>
      </c>
      <c r="F26">
        <v>55</v>
      </c>
      <c r="G26">
        <v>57</v>
      </c>
      <c r="H26" t="s">
        <v>73</v>
      </c>
      <c r="I26" t="s">
        <v>68</v>
      </c>
      <c r="J26">
        <v>2024</v>
      </c>
      <c r="K26">
        <v>7</v>
      </c>
      <c r="L26" s="3">
        <v>45474</v>
      </c>
    </row>
    <row r="27" spans="1:12">
      <c r="A27" t="s">
        <v>97</v>
      </c>
      <c r="B27" t="s">
        <v>47</v>
      </c>
      <c r="C27" t="s">
        <v>47</v>
      </c>
      <c r="D27" t="s">
        <v>90</v>
      </c>
      <c r="E27" s="3">
        <v>45505</v>
      </c>
      <c r="F27">
        <v>87</v>
      </c>
      <c r="G27">
        <v>86</v>
      </c>
      <c r="H27" t="s">
        <v>67</v>
      </c>
      <c r="I27" t="s">
        <v>68</v>
      </c>
      <c r="J27">
        <v>2024</v>
      </c>
      <c r="K27">
        <v>8</v>
      </c>
      <c r="L27" s="3">
        <v>45505</v>
      </c>
    </row>
    <row r="28" spans="1:12">
      <c r="A28" t="s">
        <v>98</v>
      </c>
      <c r="B28" t="s">
        <v>47</v>
      </c>
      <c r="C28" t="s">
        <v>47</v>
      </c>
      <c r="D28" t="s">
        <v>90</v>
      </c>
      <c r="E28" s="3">
        <v>45536</v>
      </c>
      <c r="F28">
        <v>100</v>
      </c>
      <c r="G28">
        <v>95</v>
      </c>
      <c r="H28" t="s">
        <v>67</v>
      </c>
      <c r="I28" t="s">
        <v>68</v>
      </c>
      <c r="J28">
        <v>2024</v>
      </c>
      <c r="K28">
        <v>9</v>
      </c>
      <c r="L28" s="3">
        <v>45536</v>
      </c>
    </row>
    <row r="29" spans="1:12">
      <c r="A29" t="s">
        <v>99</v>
      </c>
      <c r="B29" t="s">
        <v>47</v>
      </c>
      <c r="C29" t="s">
        <v>47</v>
      </c>
      <c r="D29" t="s">
        <v>90</v>
      </c>
      <c r="E29" s="3">
        <v>45566</v>
      </c>
      <c r="F29">
        <v>83</v>
      </c>
      <c r="G29">
        <v>78</v>
      </c>
      <c r="H29" t="s">
        <v>78</v>
      </c>
      <c r="I29" t="s">
        <v>68</v>
      </c>
      <c r="J29">
        <v>2024</v>
      </c>
      <c r="K29">
        <v>10</v>
      </c>
      <c r="L29" s="3">
        <v>45566</v>
      </c>
    </row>
    <row r="30" spans="1:12">
      <c r="A30" t="s">
        <v>100</v>
      </c>
      <c r="B30" t="s">
        <v>47</v>
      </c>
      <c r="C30" t="s">
        <v>47</v>
      </c>
      <c r="D30" t="s">
        <v>90</v>
      </c>
      <c r="E30" s="3">
        <v>45597</v>
      </c>
      <c r="F30">
        <v>107</v>
      </c>
      <c r="G30">
        <v>111</v>
      </c>
      <c r="H30" t="s">
        <v>78</v>
      </c>
      <c r="I30" t="s">
        <v>68</v>
      </c>
      <c r="J30">
        <v>2024</v>
      </c>
      <c r="K30">
        <v>11</v>
      </c>
      <c r="L30" s="3">
        <v>45597</v>
      </c>
    </row>
    <row r="31" spans="1:12">
      <c r="A31" t="s">
        <v>101</v>
      </c>
      <c r="B31" t="s">
        <v>47</v>
      </c>
      <c r="C31" t="s">
        <v>47</v>
      </c>
      <c r="D31" t="s">
        <v>90</v>
      </c>
      <c r="E31" s="3">
        <v>45627</v>
      </c>
      <c r="F31">
        <v>93</v>
      </c>
      <c r="G31">
        <v>91</v>
      </c>
      <c r="H31" t="s">
        <v>73</v>
      </c>
      <c r="I31" t="s">
        <v>68</v>
      </c>
      <c r="J31">
        <v>2024</v>
      </c>
      <c r="K31">
        <v>12</v>
      </c>
      <c r="L31" s="3">
        <v>45627</v>
      </c>
    </row>
    <row r="32" spans="1:12">
      <c r="A32" t="s">
        <v>102</v>
      </c>
      <c r="B32" t="s">
        <v>47</v>
      </c>
      <c r="C32" t="s">
        <v>47</v>
      </c>
      <c r="D32" t="s">
        <v>90</v>
      </c>
      <c r="E32" s="3">
        <v>45658</v>
      </c>
      <c r="F32">
        <v>39</v>
      </c>
      <c r="G32">
        <v>41</v>
      </c>
      <c r="H32" t="s">
        <v>67</v>
      </c>
      <c r="I32" t="s">
        <v>68</v>
      </c>
      <c r="J32">
        <v>2025</v>
      </c>
      <c r="K32">
        <v>1</v>
      </c>
      <c r="L32" s="3">
        <v>45658</v>
      </c>
    </row>
    <row r="33" spans="1:12">
      <c r="A33" t="s">
        <v>103</v>
      </c>
      <c r="B33" t="s">
        <v>47</v>
      </c>
      <c r="C33" t="s">
        <v>47</v>
      </c>
      <c r="D33" t="s">
        <v>90</v>
      </c>
      <c r="E33" s="3">
        <v>45689</v>
      </c>
      <c r="F33">
        <v>89</v>
      </c>
      <c r="G33">
        <v>88</v>
      </c>
      <c r="H33" t="s">
        <v>67</v>
      </c>
      <c r="I33" t="s">
        <v>68</v>
      </c>
      <c r="J33">
        <v>2025</v>
      </c>
      <c r="K33">
        <v>2</v>
      </c>
      <c r="L33" s="3">
        <v>45689</v>
      </c>
    </row>
    <row r="34" spans="1:12">
      <c r="A34" t="s">
        <v>104</v>
      </c>
      <c r="B34" t="s">
        <v>47</v>
      </c>
      <c r="C34" t="s">
        <v>47</v>
      </c>
      <c r="D34" t="s">
        <v>90</v>
      </c>
      <c r="E34" s="3">
        <v>45717</v>
      </c>
      <c r="F34">
        <v>112</v>
      </c>
      <c r="G34">
        <v>111</v>
      </c>
      <c r="H34" t="s">
        <v>73</v>
      </c>
      <c r="I34" t="s">
        <v>68</v>
      </c>
      <c r="J34">
        <v>2025</v>
      </c>
      <c r="K34">
        <v>3</v>
      </c>
      <c r="L34" s="3">
        <v>45717</v>
      </c>
    </row>
    <row r="35" spans="1:12">
      <c r="A35" t="s">
        <v>105</v>
      </c>
      <c r="B35" t="s">
        <v>47</v>
      </c>
      <c r="C35" t="s">
        <v>47</v>
      </c>
      <c r="D35" t="s">
        <v>90</v>
      </c>
      <c r="E35" s="3">
        <v>45748</v>
      </c>
      <c r="F35">
        <v>133</v>
      </c>
      <c r="G35">
        <v>137</v>
      </c>
      <c r="H35" t="s">
        <v>73</v>
      </c>
      <c r="I35" t="s">
        <v>68</v>
      </c>
      <c r="J35">
        <v>2025</v>
      </c>
      <c r="K35">
        <v>4</v>
      </c>
      <c r="L35" s="3">
        <v>45748</v>
      </c>
    </row>
    <row r="36" spans="1:12">
      <c r="A36" t="s">
        <v>106</v>
      </c>
      <c r="B36" t="s">
        <v>47</v>
      </c>
      <c r="C36" t="s">
        <v>47</v>
      </c>
      <c r="D36" t="s">
        <v>90</v>
      </c>
      <c r="E36" s="3">
        <v>45778</v>
      </c>
      <c r="F36">
        <v>53</v>
      </c>
      <c r="G36">
        <v>50</v>
      </c>
      <c r="H36" t="s">
        <v>73</v>
      </c>
      <c r="I36" t="s">
        <v>68</v>
      </c>
      <c r="J36">
        <v>2025</v>
      </c>
      <c r="K36">
        <v>5</v>
      </c>
      <c r="L36" s="3">
        <v>45778</v>
      </c>
    </row>
    <row r="37" spans="1:12">
      <c r="A37" t="s">
        <v>107</v>
      </c>
      <c r="B37" t="s">
        <v>47</v>
      </c>
      <c r="C37" t="s">
        <v>47</v>
      </c>
      <c r="D37" t="s">
        <v>90</v>
      </c>
      <c r="E37" s="3">
        <v>45809</v>
      </c>
      <c r="F37">
        <v>132</v>
      </c>
      <c r="G37">
        <v>128</v>
      </c>
      <c r="H37" t="s">
        <v>71</v>
      </c>
      <c r="I37" t="s">
        <v>68</v>
      </c>
      <c r="J37">
        <v>2025</v>
      </c>
      <c r="K37">
        <v>6</v>
      </c>
      <c r="L37" s="3">
        <v>45809</v>
      </c>
    </row>
    <row r="38" spans="1:12">
      <c r="A38" t="s">
        <v>108</v>
      </c>
      <c r="B38" t="s">
        <v>48</v>
      </c>
      <c r="C38" t="s">
        <v>48</v>
      </c>
      <c r="D38" t="s">
        <v>109</v>
      </c>
      <c r="E38" s="3">
        <v>45292</v>
      </c>
      <c r="F38">
        <v>106</v>
      </c>
      <c r="G38">
        <v>103</v>
      </c>
      <c r="H38" t="s">
        <v>73</v>
      </c>
      <c r="I38" t="s">
        <v>68</v>
      </c>
      <c r="J38">
        <v>2024</v>
      </c>
      <c r="K38">
        <v>1</v>
      </c>
      <c r="L38" s="3">
        <v>45292</v>
      </c>
    </row>
    <row r="39" spans="1:12">
      <c r="A39" t="s">
        <v>110</v>
      </c>
      <c r="B39" t="s">
        <v>48</v>
      </c>
      <c r="C39" t="s">
        <v>48</v>
      </c>
      <c r="D39" t="s">
        <v>109</v>
      </c>
      <c r="E39" s="3">
        <v>45323</v>
      </c>
      <c r="F39">
        <v>92</v>
      </c>
      <c r="G39">
        <v>96</v>
      </c>
      <c r="H39" t="s">
        <v>71</v>
      </c>
      <c r="I39" t="s">
        <v>68</v>
      </c>
      <c r="J39">
        <v>2024</v>
      </c>
      <c r="K39">
        <v>2</v>
      </c>
      <c r="L39" s="3">
        <v>45323</v>
      </c>
    </row>
    <row r="40" spans="1:12">
      <c r="A40" t="s">
        <v>111</v>
      </c>
      <c r="B40" t="s">
        <v>48</v>
      </c>
      <c r="C40" t="s">
        <v>48</v>
      </c>
      <c r="D40" t="s">
        <v>109</v>
      </c>
      <c r="E40" s="3">
        <v>45352</v>
      </c>
      <c r="F40">
        <v>81</v>
      </c>
      <c r="G40">
        <v>83</v>
      </c>
      <c r="H40" t="s">
        <v>78</v>
      </c>
      <c r="I40" t="s">
        <v>68</v>
      </c>
      <c r="J40">
        <v>2024</v>
      </c>
      <c r="K40">
        <v>3</v>
      </c>
      <c r="L40" s="3">
        <v>45352</v>
      </c>
    </row>
    <row r="41" spans="1:12">
      <c r="A41" t="s">
        <v>112</v>
      </c>
      <c r="B41" t="s">
        <v>48</v>
      </c>
      <c r="C41" t="s">
        <v>48</v>
      </c>
      <c r="D41" t="s">
        <v>109</v>
      </c>
      <c r="E41" s="3">
        <v>45383</v>
      </c>
      <c r="F41">
        <v>116</v>
      </c>
      <c r="G41">
        <v>119</v>
      </c>
      <c r="H41" t="s">
        <v>71</v>
      </c>
      <c r="I41" t="s">
        <v>68</v>
      </c>
      <c r="J41">
        <v>2024</v>
      </c>
      <c r="K41">
        <v>4</v>
      </c>
      <c r="L41" s="3">
        <v>45383</v>
      </c>
    </row>
    <row r="42" spans="1:12">
      <c r="A42" t="s">
        <v>113</v>
      </c>
      <c r="B42" t="s">
        <v>48</v>
      </c>
      <c r="C42" t="s">
        <v>48</v>
      </c>
      <c r="D42" t="s">
        <v>109</v>
      </c>
      <c r="E42" s="3">
        <v>45413</v>
      </c>
      <c r="F42">
        <v>96</v>
      </c>
      <c r="G42">
        <v>99</v>
      </c>
      <c r="H42" t="s">
        <v>78</v>
      </c>
      <c r="I42" t="s">
        <v>68</v>
      </c>
      <c r="J42">
        <v>2024</v>
      </c>
      <c r="K42">
        <v>5</v>
      </c>
      <c r="L42" s="3">
        <v>45413</v>
      </c>
    </row>
    <row r="43" spans="1:12">
      <c r="A43" t="s">
        <v>114</v>
      </c>
      <c r="B43" t="s">
        <v>48</v>
      </c>
      <c r="C43" t="s">
        <v>48</v>
      </c>
      <c r="D43" t="s">
        <v>109</v>
      </c>
      <c r="E43" s="3">
        <v>45444</v>
      </c>
      <c r="F43">
        <v>91</v>
      </c>
      <c r="G43">
        <v>96</v>
      </c>
      <c r="H43" t="s">
        <v>78</v>
      </c>
      <c r="I43" t="s">
        <v>68</v>
      </c>
      <c r="J43">
        <v>2024</v>
      </c>
      <c r="K43">
        <v>6</v>
      </c>
      <c r="L43" s="3">
        <v>45444</v>
      </c>
    </row>
    <row r="44" spans="1:12">
      <c r="A44" t="s">
        <v>115</v>
      </c>
      <c r="B44" t="s">
        <v>48</v>
      </c>
      <c r="C44" t="s">
        <v>48</v>
      </c>
      <c r="D44" t="s">
        <v>109</v>
      </c>
      <c r="E44" s="3">
        <v>45474</v>
      </c>
      <c r="F44">
        <v>114</v>
      </c>
      <c r="G44">
        <v>116</v>
      </c>
      <c r="H44" t="s">
        <v>71</v>
      </c>
      <c r="I44" t="s">
        <v>68</v>
      </c>
      <c r="J44">
        <v>2024</v>
      </c>
      <c r="K44">
        <v>7</v>
      </c>
      <c r="L44" s="3">
        <v>45474</v>
      </c>
    </row>
    <row r="45" spans="1:12">
      <c r="A45" t="s">
        <v>116</v>
      </c>
      <c r="B45" t="s">
        <v>48</v>
      </c>
      <c r="C45" t="s">
        <v>48</v>
      </c>
      <c r="D45" t="s">
        <v>109</v>
      </c>
      <c r="E45" s="3">
        <v>45505</v>
      </c>
      <c r="F45">
        <v>112</v>
      </c>
      <c r="G45">
        <v>111</v>
      </c>
      <c r="H45" t="s">
        <v>67</v>
      </c>
      <c r="I45" t="s">
        <v>68</v>
      </c>
      <c r="J45">
        <v>2024</v>
      </c>
      <c r="K45">
        <v>8</v>
      </c>
      <c r="L45" s="3">
        <v>45505</v>
      </c>
    </row>
    <row r="46" spans="1:12">
      <c r="A46" t="s">
        <v>117</v>
      </c>
      <c r="B46" t="s">
        <v>48</v>
      </c>
      <c r="C46" t="s">
        <v>48</v>
      </c>
      <c r="D46" t="s">
        <v>109</v>
      </c>
      <c r="E46" s="3">
        <v>45536</v>
      </c>
      <c r="F46">
        <v>91</v>
      </c>
      <c r="G46">
        <v>96</v>
      </c>
      <c r="H46" t="s">
        <v>78</v>
      </c>
      <c r="I46" t="s">
        <v>68</v>
      </c>
      <c r="J46">
        <v>2024</v>
      </c>
      <c r="K46">
        <v>9</v>
      </c>
      <c r="L46" s="3">
        <v>45536</v>
      </c>
    </row>
    <row r="47" spans="1:12">
      <c r="A47" t="s">
        <v>118</v>
      </c>
      <c r="B47" t="s">
        <v>48</v>
      </c>
      <c r="C47" t="s">
        <v>48</v>
      </c>
      <c r="D47" t="s">
        <v>109</v>
      </c>
      <c r="E47" s="3">
        <v>45566</v>
      </c>
      <c r="F47">
        <v>99</v>
      </c>
      <c r="G47">
        <v>104</v>
      </c>
      <c r="H47" t="s">
        <v>67</v>
      </c>
      <c r="I47" t="s">
        <v>68</v>
      </c>
      <c r="J47">
        <v>2024</v>
      </c>
      <c r="K47">
        <v>10</v>
      </c>
      <c r="L47" s="3">
        <v>45566</v>
      </c>
    </row>
    <row r="48" spans="1:12">
      <c r="A48" t="s">
        <v>119</v>
      </c>
      <c r="B48" t="s">
        <v>48</v>
      </c>
      <c r="C48" t="s">
        <v>48</v>
      </c>
      <c r="D48" t="s">
        <v>109</v>
      </c>
      <c r="E48" s="3">
        <v>45597</v>
      </c>
      <c r="F48">
        <v>117</v>
      </c>
      <c r="G48">
        <v>120</v>
      </c>
      <c r="H48" t="s">
        <v>71</v>
      </c>
      <c r="I48" t="s">
        <v>68</v>
      </c>
      <c r="J48">
        <v>2024</v>
      </c>
      <c r="K48">
        <v>11</v>
      </c>
      <c r="L48" s="3">
        <v>45597</v>
      </c>
    </row>
    <row r="49" spans="1:12">
      <c r="A49" t="s">
        <v>120</v>
      </c>
      <c r="B49" t="s">
        <v>48</v>
      </c>
      <c r="C49" t="s">
        <v>48</v>
      </c>
      <c r="D49" t="s">
        <v>109</v>
      </c>
      <c r="E49" s="3">
        <v>45627</v>
      </c>
      <c r="F49">
        <v>125</v>
      </c>
      <c r="G49">
        <v>129</v>
      </c>
      <c r="H49" t="s">
        <v>78</v>
      </c>
      <c r="I49" t="s">
        <v>68</v>
      </c>
      <c r="J49">
        <v>2024</v>
      </c>
      <c r="K49">
        <v>12</v>
      </c>
      <c r="L49" s="3">
        <v>45627</v>
      </c>
    </row>
    <row r="50" spans="1:12">
      <c r="A50" t="s">
        <v>121</v>
      </c>
      <c r="B50" t="s">
        <v>48</v>
      </c>
      <c r="C50" t="s">
        <v>48</v>
      </c>
      <c r="D50" t="s">
        <v>109</v>
      </c>
      <c r="E50" s="3">
        <v>45658</v>
      </c>
      <c r="F50">
        <v>91</v>
      </c>
      <c r="G50">
        <v>91</v>
      </c>
      <c r="H50" t="s">
        <v>78</v>
      </c>
      <c r="I50" t="s">
        <v>68</v>
      </c>
      <c r="J50">
        <v>2025</v>
      </c>
      <c r="K50">
        <v>1</v>
      </c>
      <c r="L50" s="3">
        <v>45658</v>
      </c>
    </row>
    <row r="51" spans="1:12">
      <c r="A51" t="s">
        <v>122</v>
      </c>
      <c r="B51" t="s">
        <v>48</v>
      </c>
      <c r="C51" t="s">
        <v>48</v>
      </c>
      <c r="D51" t="s">
        <v>109</v>
      </c>
      <c r="E51" s="3">
        <v>45689</v>
      </c>
      <c r="F51">
        <v>100</v>
      </c>
      <c r="G51">
        <v>98</v>
      </c>
      <c r="H51" t="s">
        <v>71</v>
      </c>
      <c r="I51" t="s">
        <v>68</v>
      </c>
      <c r="J51">
        <v>2025</v>
      </c>
      <c r="K51">
        <v>2</v>
      </c>
      <c r="L51" s="3">
        <v>45689</v>
      </c>
    </row>
    <row r="52" spans="1:12">
      <c r="A52" t="s">
        <v>123</v>
      </c>
      <c r="B52" t="s">
        <v>48</v>
      </c>
      <c r="C52" t="s">
        <v>48</v>
      </c>
      <c r="D52" t="s">
        <v>109</v>
      </c>
      <c r="E52" s="3">
        <v>45717</v>
      </c>
      <c r="F52">
        <v>101</v>
      </c>
      <c r="G52">
        <v>97</v>
      </c>
      <c r="H52" t="s">
        <v>71</v>
      </c>
      <c r="I52" t="s">
        <v>68</v>
      </c>
      <c r="J52">
        <v>2025</v>
      </c>
      <c r="K52">
        <v>3</v>
      </c>
      <c r="L52" s="3">
        <v>45717</v>
      </c>
    </row>
    <row r="53" spans="1:12">
      <c r="A53" t="s">
        <v>124</v>
      </c>
      <c r="B53" t="s">
        <v>48</v>
      </c>
      <c r="C53" t="s">
        <v>48</v>
      </c>
      <c r="D53" t="s">
        <v>109</v>
      </c>
      <c r="E53" s="3">
        <v>45748</v>
      </c>
      <c r="F53">
        <v>123</v>
      </c>
      <c r="G53">
        <v>125</v>
      </c>
      <c r="H53" t="s">
        <v>71</v>
      </c>
      <c r="I53" t="s">
        <v>68</v>
      </c>
      <c r="J53">
        <v>2025</v>
      </c>
      <c r="K53">
        <v>4</v>
      </c>
      <c r="L53" s="3">
        <v>45748</v>
      </c>
    </row>
    <row r="54" spans="1:12">
      <c r="A54" t="s">
        <v>125</v>
      </c>
      <c r="B54" t="s">
        <v>48</v>
      </c>
      <c r="C54" t="s">
        <v>48</v>
      </c>
      <c r="D54" t="s">
        <v>109</v>
      </c>
      <c r="E54" s="3">
        <v>45778</v>
      </c>
      <c r="F54">
        <v>121</v>
      </c>
      <c r="G54">
        <v>118</v>
      </c>
      <c r="H54" t="s">
        <v>67</v>
      </c>
      <c r="I54" t="s">
        <v>68</v>
      </c>
      <c r="J54">
        <v>2025</v>
      </c>
      <c r="K54">
        <v>5</v>
      </c>
      <c r="L54" s="3">
        <v>45778</v>
      </c>
    </row>
    <row r="55" spans="1:12">
      <c r="A55" t="s">
        <v>126</v>
      </c>
      <c r="B55" t="s">
        <v>48</v>
      </c>
      <c r="C55" t="s">
        <v>48</v>
      </c>
      <c r="D55" t="s">
        <v>109</v>
      </c>
      <c r="E55" s="3">
        <v>45809</v>
      </c>
      <c r="F55">
        <v>96</v>
      </c>
      <c r="G55">
        <v>101</v>
      </c>
      <c r="H55" t="s">
        <v>73</v>
      </c>
      <c r="I55" t="s">
        <v>68</v>
      </c>
      <c r="J55">
        <v>2025</v>
      </c>
      <c r="K55">
        <v>6</v>
      </c>
      <c r="L55" s="3">
        <v>45809</v>
      </c>
    </row>
    <row r="56" spans="1:12">
      <c r="A56" t="s">
        <v>127</v>
      </c>
      <c r="B56" t="s">
        <v>128</v>
      </c>
      <c r="C56" t="s">
        <v>128</v>
      </c>
      <c r="D56" t="s">
        <v>129</v>
      </c>
      <c r="E56" s="3">
        <v>45292</v>
      </c>
      <c r="F56">
        <v>28</v>
      </c>
      <c r="G56">
        <v>32</v>
      </c>
      <c r="H56" t="s">
        <v>73</v>
      </c>
      <c r="I56" t="s">
        <v>68</v>
      </c>
      <c r="J56">
        <v>2024</v>
      </c>
      <c r="K56">
        <v>1</v>
      </c>
      <c r="L56" s="3">
        <v>45292</v>
      </c>
    </row>
    <row r="57" spans="1:12">
      <c r="A57" t="s">
        <v>130</v>
      </c>
      <c r="B57" t="s">
        <v>128</v>
      </c>
      <c r="C57" t="s">
        <v>128</v>
      </c>
      <c r="D57" t="s">
        <v>129</v>
      </c>
      <c r="E57" s="3">
        <v>45323</v>
      </c>
      <c r="F57">
        <v>31</v>
      </c>
      <c r="G57">
        <v>34</v>
      </c>
      <c r="H57" t="s">
        <v>67</v>
      </c>
      <c r="I57" t="s">
        <v>68</v>
      </c>
      <c r="J57">
        <v>2024</v>
      </c>
      <c r="K57">
        <v>2</v>
      </c>
      <c r="L57" s="3">
        <v>45323</v>
      </c>
    </row>
    <row r="58" spans="1:12">
      <c r="A58" t="s">
        <v>131</v>
      </c>
      <c r="B58" t="s">
        <v>128</v>
      </c>
      <c r="C58" t="s">
        <v>128</v>
      </c>
      <c r="D58" t="s">
        <v>129</v>
      </c>
      <c r="E58" s="3">
        <v>45352</v>
      </c>
      <c r="F58">
        <v>12</v>
      </c>
      <c r="G58">
        <v>12</v>
      </c>
      <c r="H58" t="s">
        <v>73</v>
      </c>
      <c r="I58" t="s">
        <v>68</v>
      </c>
      <c r="J58">
        <v>2024</v>
      </c>
      <c r="K58">
        <v>3</v>
      </c>
      <c r="L58" s="3">
        <v>45352</v>
      </c>
    </row>
    <row r="59" spans="1:12">
      <c r="A59" t="s">
        <v>132</v>
      </c>
      <c r="B59" t="s">
        <v>128</v>
      </c>
      <c r="C59" t="s">
        <v>128</v>
      </c>
      <c r="D59" t="s">
        <v>129</v>
      </c>
      <c r="E59" s="3">
        <v>45383</v>
      </c>
      <c r="F59">
        <v>30</v>
      </c>
      <c r="G59">
        <v>32</v>
      </c>
      <c r="H59" t="s">
        <v>71</v>
      </c>
      <c r="I59" t="s">
        <v>68</v>
      </c>
      <c r="J59">
        <v>2024</v>
      </c>
      <c r="K59">
        <v>4</v>
      </c>
      <c r="L59" s="3">
        <v>45383</v>
      </c>
    </row>
    <row r="60" spans="1:12">
      <c r="A60" t="s">
        <v>133</v>
      </c>
      <c r="B60" t="s">
        <v>128</v>
      </c>
      <c r="C60" t="s">
        <v>128</v>
      </c>
      <c r="D60" t="s">
        <v>129</v>
      </c>
      <c r="E60" s="3">
        <v>45413</v>
      </c>
      <c r="F60">
        <v>0</v>
      </c>
      <c r="G60">
        <v>0</v>
      </c>
      <c r="H60" t="s">
        <v>78</v>
      </c>
      <c r="I60" t="s">
        <v>68</v>
      </c>
      <c r="J60">
        <v>2024</v>
      </c>
      <c r="K60">
        <v>5</v>
      </c>
      <c r="L60" s="3">
        <v>45413</v>
      </c>
    </row>
    <row r="61" spans="1:12">
      <c r="A61" t="s">
        <v>134</v>
      </c>
      <c r="B61" t="s">
        <v>128</v>
      </c>
      <c r="C61" t="s">
        <v>128</v>
      </c>
      <c r="D61" t="s">
        <v>129</v>
      </c>
      <c r="E61" s="3">
        <v>45444</v>
      </c>
      <c r="F61">
        <v>0</v>
      </c>
      <c r="G61">
        <v>3</v>
      </c>
      <c r="H61" t="s">
        <v>67</v>
      </c>
      <c r="I61" t="s">
        <v>68</v>
      </c>
      <c r="J61">
        <v>2024</v>
      </c>
      <c r="K61">
        <v>6</v>
      </c>
      <c r="L61" s="3">
        <v>45444</v>
      </c>
    </row>
    <row r="62" spans="1:12">
      <c r="A62" t="s">
        <v>135</v>
      </c>
      <c r="B62" t="s">
        <v>128</v>
      </c>
      <c r="C62" t="s">
        <v>128</v>
      </c>
      <c r="D62" t="s">
        <v>129</v>
      </c>
      <c r="E62" s="3">
        <v>45474</v>
      </c>
      <c r="F62">
        <v>36</v>
      </c>
      <c r="G62">
        <v>31</v>
      </c>
      <c r="H62" t="s">
        <v>67</v>
      </c>
      <c r="I62" t="s">
        <v>68</v>
      </c>
      <c r="J62">
        <v>2024</v>
      </c>
      <c r="K62">
        <v>7</v>
      </c>
      <c r="L62" s="3">
        <v>45474</v>
      </c>
    </row>
    <row r="63" spans="1:12">
      <c r="A63" t="s">
        <v>136</v>
      </c>
      <c r="B63" t="s">
        <v>128</v>
      </c>
      <c r="C63" t="s">
        <v>128</v>
      </c>
      <c r="D63" t="s">
        <v>129</v>
      </c>
      <c r="E63" s="3">
        <v>45505</v>
      </c>
      <c r="F63">
        <v>0</v>
      </c>
      <c r="G63">
        <v>0</v>
      </c>
      <c r="H63" t="s">
        <v>78</v>
      </c>
      <c r="I63" t="s">
        <v>68</v>
      </c>
      <c r="J63">
        <v>2024</v>
      </c>
      <c r="K63">
        <v>8</v>
      </c>
      <c r="L63" s="3">
        <v>45505</v>
      </c>
    </row>
    <row r="64" spans="1:12">
      <c r="A64" t="s">
        <v>137</v>
      </c>
      <c r="B64" t="s">
        <v>128</v>
      </c>
      <c r="C64" t="s">
        <v>128</v>
      </c>
      <c r="D64" t="s">
        <v>129</v>
      </c>
      <c r="E64" s="3">
        <v>45536</v>
      </c>
      <c r="F64">
        <v>0</v>
      </c>
      <c r="G64">
        <v>0</v>
      </c>
      <c r="H64" t="s">
        <v>78</v>
      </c>
      <c r="I64" t="s">
        <v>68</v>
      </c>
      <c r="J64">
        <v>2024</v>
      </c>
      <c r="K64">
        <v>9</v>
      </c>
      <c r="L64" s="3">
        <v>45536</v>
      </c>
    </row>
    <row r="65" spans="1:12">
      <c r="A65" t="s">
        <v>138</v>
      </c>
      <c r="B65" t="s">
        <v>128</v>
      </c>
      <c r="C65" t="s">
        <v>128</v>
      </c>
      <c r="D65" t="s">
        <v>129</v>
      </c>
      <c r="E65" s="3">
        <v>45566</v>
      </c>
      <c r="F65">
        <v>23</v>
      </c>
      <c r="G65">
        <v>21</v>
      </c>
      <c r="H65" t="s">
        <v>67</v>
      </c>
      <c r="I65" t="s">
        <v>68</v>
      </c>
      <c r="J65">
        <v>2024</v>
      </c>
      <c r="K65">
        <v>10</v>
      </c>
      <c r="L65" s="3">
        <v>45566</v>
      </c>
    </row>
    <row r="66" spans="1:12">
      <c r="A66" t="s">
        <v>139</v>
      </c>
      <c r="B66" t="s">
        <v>128</v>
      </c>
      <c r="C66" t="s">
        <v>128</v>
      </c>
      <c r="D66" t="s">
        <v>129</v>
      </c>
      <c r="E66" s="3">
        <v>45597</v>
      </c>
      <c r="F66">
        <v>31</v>
      </c>
      <c r="G66">
        <v>29</v>
      </c>
      <c r="H66" t="s">
        <v>73</v>
      </c>
      <c r="I66" t="s">
        <v>68</v>
      </c>
      <c r="J66">
        <v>2024</v>
      </c>
      <c r="K66">
        <v>11</v>
      </c>
      <c r="L66" s="3">
        <v>45597</v>
      </c>
    </row>
    <row r="67" spans="1:12">
      <c r="A67" t="s">
        <v>140</v>
      </c>
      <c r="B67" t="s">
        <v>128</v>
      </c>
      <c r="C67" t="s">
        <v>128</v>
      </c>
      <c r="D67" t="s">
        <v>129</v>
      </c>
      <c r="E67" s="3">
        <v>45627</v>
      </c>
      <c r="F67">
        <v>15</v>
      </c>
      <c r="G67">
        <v>13</v>
      </c>
      <c r="H67" t="s">
        <v>71</v>
      </c>
      <c r="I67" t="s">
        <v>68</v>
      </c>
      <c r="J67">
        <v>2024</v>
      </c>
      <c r="K67">
        <v>12</v>
      </c>
      <c r="L67" s="3">
        <v>45627</v>
      </c>
    </row>
    <row r="68" spans="1:12">
      <c r="A68" t="s">
        <v>141</v>
      </c>
      <c r="B68" t="s">
        <v>128</v>
      </c>
      <c r="C68" t="s">
        <v>128</v>
      </c>
      <c r="D68" t="s">
        <v>129</v>
      </c>
      <c r="E68" s="3">
        <v>45658</v>
      </c>
      <c r="F68">
        <v>0</v>
      </c>
      <c r="G68">
        <v>1</v>
      </c>
      <c r="H68" t="s">
        <v>78</v>
      </c>
      <c r="I68" t="s">
        <v>68</v>
      </c>
      <c r="J68">
        <v>2025</v>
      </c>
      <c r="K68">
        <v>1</v>
      </c>
      <c r="L68" s="3">
        <v>45658</v>
      </c>
    </row>
    <row r="69" spans="1:12">
      <c r="A69" t="s">
        <v>142</v>
      </c>
      <c r="B69" t="s">
        <v>128</v>
      </c>
      <c r="C69" t="s">
        <v>128</v>
      </c>
      <c r="D69" t="s">
        <v>129</v>
      </c>
      <c r="E69" s="3">
        <v>45689</v>
      </c>
      <c r="F69">
        <v>8</v>
      </c>
      <c r="G69">
        <v>13</v>
      </c>
      <c r="H69" t="s">
        <v>71</v>
      </c>
      <c r="I69" t="s">
        <v>68</v>
      </c>
      <c r="J69">
        <v>2025</v>
      </c>
      <c r="K69">
        <v>2</v>
      </c>
      <c r="L69" s="3">
        <v>45689</v>
      </c>
    </row>
    <row r="70" spans="1:12">
      <c r="A70" t="s">
        <v>143</v>
      </c>
      <c r="B70" t="s">
        <v>128</v>
      </c>
      <c r="C70" t="s">
        <v>128</v>
      </c>
      <c r="D70" t="s">
        <v>129</v>
      </c>
      <c r="E70" s="3">
        <v>45717</v>
      </c>
      <c r="F70">
        <v>0</v>
      </c>
      <c r="G70">
        <v>0</v>
      </c>
      <c r="H70" t="s">
        <v>71</v>
      </c>
      <c r="I70" t="s">
        <v>68</v>
      </c>
      <c r="J70">
        <v>2025</v>
      </c>
      <c r="K70">
        <v>3</v>
      </c>
      <c r="L70" s="3">
        <v>45717</v>
      </c>
    </row>
    <row r="71" spans="1:12">
      <c r="A71" t="s">
        <v>144</v>
      </c>
      <c r="B71" t="s">
        <v>128</v>
      </c>
      <c r="C71" t="s">
        <v>128</v>
      </c>
      <c r="D71" t="s">
        <v>129</v>
      </c>
      <c r="E71" s="3">
        <v>45748</v>
      </c>
      <c r="F71">
        <v>0</v>
      </c>
      <c r="G71">
        <v>0</v>
      </c>
      <c r="H71" t="s">
        <v>73</v>
      </c>
      <c r="I71" t="s">
        <v>68</v>
      </c>
      <c r="J71">
        <v>2025</v>
      </c>
      <c r="K71">
        <v>4</v>
      </c>
      <c r="L71" s="3">
        <v>45748</v>
      </c>
    </row>
    <row r="72" spans="1:12">
      <c r="A72" t="s">
        <v>145</v>
      </c>
      <c r="B72" t="s">
        <v>128</v>
      </c>
      <c r="C72" t="s">
        <v>128</v>
      </c>
      <c r="D72" t="s">
        <v>129</v>
      </c>
      <c r="E72" s="3">
        <v>45778</v>
      </c>
      <c r="F72">
        <v>0</v>
      </c>
      <c r="G72">
        <v>0</v>
      </c>
      <c r="H72" t="s">
        <v>78</v>
      </c>
      <c r="I72" t="s">
        <v>68</v>
      </c>
      <c r="J72">
        <v>2025</v>
      </c>
      <c r="K72">
        <v>5</v>
      </c>
      <c r="L72" s="3">
        <v>45778</v>
      </c>
    </row>
    <row r="73" spans="1:12">
      <c r="A73" t="s">
        <v>146</v>
      </c>
      <c r="B73" t="s">
        <v>128</v>
      </c>
      <c r="C73" t="s">
        <v>128</v>
      </c>
      <c r="D73" t="s">
        <v>129</v>
      </c>
      <c r="E73" s="3">
        <v>45809</v>
      </c>
      <c r="F73">
        <v>25</v>
      </c>
      <c r="G73">
        <v>21</v>
      </c>
      <c r="H73" t="s">
        <v>73</v>
      </c>
      <c r="I73" t="s">
        <v>68</v>
      </c>
      <c r="J73">
        <v>2025</v>
      </c>
      <c r="K73">
        <v>6</v>
      </c>
      <c r="L73" s="3">
        <v>45809</v>
      </c>
    </row>
    <row r="74" spans="1:12">
      <c r="A74" t="s">
        <v>147</v>
      </c>
      <c r="B74" t="s">
        <v>148</v>
      </c>
      <c r="C74" t="s">
        <v>148</v>
      </c>
      <c r="D74" t="s">
        <v>149</v>
      </c>
      <c r="E74" s="3">
        <v>45292</v>
      </c>
      <c r="F74">
        <v>34</v>
      </c>
      <c r="G74">
        <v>30</v>
      </c>
      <c r="H74" t="s">
        <v>67</v>
      </c>
      <c r="I74" t="s">
        <v>68</v>
      </c>
      <c r="J74">
        <v>2024</v>
      </c>
      <c r="K74">
        <v>1</v>
      </c>
      <c r="L74" s="3">
        <v>45292</v>
      </c>
    </row>
    <row r="75" spans="1:12">
      <c r="A75" t="s">
        <v>150</v>
      </c>
      <c r="B75" t="s">
        <v>148</v>
      </c>
      <c r="C75" t="s">
        <v>148</v>
      </c>
      <c r="D75" t="s">
        <v>149</v>
      </c>
      <c r="E75" s="3">
        <v>45323</v>
      </c>
      <c r="F75">
        <v>0</v>
      </c>
      <c r="G75">
        <v>2</v>
      </c>
      <c r="H75" t="s">
        <v>73</v>
      </c>
      <c r="I75" t="s">
        <v>68</v>
      </c>
      <c r="J75">
        <v>2024</v>
      </c>
      <c r="K75">
        <v>2</v>
      </c>
      <c r="L75" s="3">
        <v>45323</v>
      </c>
    </row>
    <row r="76" spans="1:12">
      <c r="A76" t="s">
        <v>151</v>
      </c>
      <c r="B76" t="s">
        <v>148</v>
      </c>
      <c r="C76" t="s">
        <v>148</v>
      </c>
      <c r="D76" t="s">
        <v>149</v>
      </c>
      <c r="E76" s="3">
        <v>45352</v>
      </c>
      <c r="F76">
        <v>39</v>
      </c>
      <c r="G76">
        <v>34</v>
      </c>
      <c r="H76" t="s">
        <v>73</v>
      </c>
      <c r="I76" t="s">
        <v>68</v>
      </c>
      <c r="J76">
        <v>2024</v>
      </c>
      <c r="K76">
        <v>3</v>
      </c>
      <c r="L76" s="3">
        <v>45352</v>
      </c>
    </row>
    <row r="77" spans="1:12">
      <c r="A77" t="s">
        <v>152</v>
      </c>
      <c r="B77" t="s">
        <v>148</v>
      </c>
      <c r="C77" t="s">
        <v>148</v>
      </c>
      <c r="D77" t="s">
        <v>149</v>
      </c>
      <c r="E77" s="3">
        <v>45383</v>
      </c>
      <c r="F77">
        <v>19</v>
      </c>
      <c r="G77">
        <v>21</v>
      </c>
      <c r="H77" t="s">
        <v>78</v>
      </c>
      <c r="I77" t="s">
        <v>68</v>
      </c>
      <c r="J77">
        <v>2024</v>
      </c>
      <c r="K77">
        <v>4</v>
      </c>
      <c r="L77" s="3">
        <v>45383</v>
      </c>
    </row>
    <row r="78" spans="1:12">
      <c r="A78" t="s">
        <v>153</v>
      </c>
      <c r="B78" t="s">
        <v>148</v>
      </c>
      <c r="C78" t="s">
        <v>148</v>
      </c>
      <c r="D78" t="s">
        <v>149</v>
      </c>
      <c r="E78" s="3">
        <v>45413</v>
      </c>
      <c r="F78">
        <v>0</v>
      </c>
      <c r="G78">
        <v>3</v>
      </c>
      <c r="H78" t="s">
        <v>73</v>
      </c>
      <c r="I78" t="s">
        <v>68</v>
      </c>
      <c r="J78">
        <v>2024</v>
      </c>
      <c r="K78">
        <v>5</v>
      </c>
      <c r="L78" s="3">
        <v>45413</v>
      </c>
    </row>
    <row r="79" spans="1:12">
      <c r="A79" t="s">
        <v>154</v>
      </c>
      <c r="B79" t="s">
        <v>148</v>
      </c>
      <c r="C79" t="s">
        <v>148</v>
      </c>
      <c r="D79" t="s">
        <v>149</v>
      </c>
      <c r="E79" s="3">
        <v>45444</v>
      </c>
      <c r="F79">
        <v>21</v>
      </c>
      <c r="G79">
        <v>20</v>
      </c>
      <c r="H79" t="s">
        <v>67</v>
      </c>
      <c r="I79" t="s">
        <v>68</v>
      </c>
      <c r="J79">
        <v>2024</v>
      </c>
      <c r="K79">
        <v>6</v>
      </c>
      <c r="L79" s="3">
        <v>45444</v>
      </c>
    </row>
    <row r="80" spans="1:12">
      <c r="A80" t="s">
        <v>155</v>
      </c>
      <c r="B80" t="s">
        <v>148</v>
      </c>
      <c r="C80" t="s">
        <v>148</v>
      </c>
      <c r="D80" t="s">
        <v>149</v>
      </c>
      <c r="E80" s="3">
        <v>45474</v>
      </c>
      <c r="F80">
        <v>22</v>
      </c>
      <c r="G80">
        <v>22</v>
      </c>
      <c r="H80" t="s">
        <v>71</v>
      </c>
      <c r="I80" t="s">
        <v>68</v>
      </c>
      <c r="J80">
        <v>2024</v>
      </c>
      <c r="K80">
        <v>7</v>
      </c>
      <c r="L80" s="3">
        <v>45474</v>
      </c>
    </row>
    <row r="81" spans="1:12">
      <c r="A81" t="s">
        <v>156</v>
      </c>
      <c r="B81" t="s">
        <v>148</v>
      </c>
      <c r="C81" t="s">
        <v>148</v>
      </c>
      <c r="D81" t="s">
        <v>149</v>
      </c>
      <c r="E81" s="3">
        <v>45505</v>
      </c>
      <c r="F81">
        <v>27</v>
      </c>
      <c r="G81">
        <v>30</v>
      </c>
      <c r="H81" t="s">
        <v>67</v>
      </c>
      <c r="I81" t="s">
        <v>68</v>
      </c>
      <c r="J81">
        <v>2024</v>
      </c>
      <c r="K81">
        <v>8</v>
      </c>
      <c r="L81" s="3">
        <v>45505</v>
      </c>
    </row>
    <row r="82" spans="1:12">
      <c r="A82" t="s">
        <v>157</v>
      </c>
      <c r="B82" t="s">
        <v>148</v>
      </c>
      <c r="C82" t="s">
        <v>148</v>
      </c>
      <c r="D82" t="s">
        <v>149</v>
      </c>
      <c r="E82" s="3">
        <v>45536</v>
      </c>
      <c r="F82">
        <v>20</v>
      </c>
      <c r="G82">
        <v>16</v>
      </c>
      <c r="H82" t="s">
        <v>71</v>
      </c>
      <c r="I82" t="s">
        <v>68</v>
      </c>
      <c r="J82">
        <v>2024</v>
      </c>
      <c r="K82">
        <v>9</v>
      </c>
      <c r="L82" s="3">
        <v>45536</v>
      </c>
    </row>
    <row r="83" spans="1:12">
      <c r="A83" t="s">
        <v>158</v>
      </c>
      <c r="B83" t="s">
        <v>148</v>
      </c>
      <c r="C83" t="s">
        <v>148</v>
      </c>
      <c r="D83" t="s">
        <v>149</v>
      </c>
      <c r="E83" s="3">
        <v>45566</v>
      </c>
      <c r="F83">
        <v>15</v>
      </c>
      <c r="G83">
        <v>13</v>
      </c>
      <c r="H83" t="s">
        <v>73</v>
      </c>
      <c r="I83" t="s">
        <v>68</v>
      </c>
      <c r="J83">
        <v>2024</v>
      </c>
      <c r="K83">
        <v>10</v>
      </c>
      <c r="L83" s="3">
        <v>45566</v>
      </c>
    </row>
    <row r="84" spans="1:12">
      <c r="A84" t="s">
        <v>159</v>
      </c>
      <c r="B84" t="s">
        <v>148</v>
      </c>
      <c r="C84" t="s">
        <v>148</v>
      </c>
      <c r="D84" t="s">
        <v>149</v>
      </c>
      <c r="E84" s="3">
        <v>45597</v>
      </c>
      <c r="F84">
        <v>23</v>
      </c>
      <c r="G84">
        <v>27</v>
      </c>
      <c r="H84" t="s">
        <v>71</v>
      </c>
      <c r="I84" t="s">
        <v>68</v>
      </c>
      <c r="J84">
        <v>2024</v>
      </c>
      <c r="K84">
        <v>11</v>
      </c>
      <c r="L84" s="3">
        <v>45597</v>
      </c>
    </row>
    <row r="85" spans="1:12">
      <c r="A85" t="s">
        <v>160</v>
      </c>
      <c r="B85" t="s">
        <v>148</v>
      </c>
      <c r="C85" t="s">
        <v>148</v>
      </c>
      <c r="D85" t="s">
        <v>149</v>
      </c>
      <c r="E85" s="3">
        <v>45627</v>
      </c>
      <c r="F85">
        <v>23</v>
      </c>
      <c r="G85">
        <v>24</v>
      </c>
      <c r="H85" t="s">
        <v>78</v>
      </c>
      <c r="I85" t="s">
        <v>68</v>
      </c>
      <c r="J85">
        <v>2024</v>
      </c>
      <c r="K85">
        <v>12</v>
      </c>
      <c r="L85" s="3">
        <v>45627</v>
      </c>
    </row>
    <row r="86" spans="1:12">
      <c r="A86" t="s">
        <v>161</v>
      </c>
      <c r="B86" t="s">
        <v>148</v>
      </c>
      <c r="C86" t="s">
        <v>148</v>
      </c>
      <c r="D86" t="s">
        <v>149</v>
      </c>
      <c r="E86" s="3">
        <v>45658</v>
      </c>
      <c r="F86">
        <v>16</v>
      </c>
      <c r="G86">
        <v>14</v>
      </c>
      <c r="H86" t="s">
        <v>78</v>
      </c>
      <c r="I86" t="s">
        <v>68</v>
      </c>
      <c r="J86">
        <v>2025</v>
      </c>
      <c r="K86">
        <v>1</v>
      </c>
      <c r="L86" s="3">
        <v>45658</v>
      </c>
    </row>
    <row r="87" spans="1:12">
      <c r="A87" t="s">
        <v>162</v>
      </c>
      <c r="B87" t="s">
        <v>148</v>
      </c>
      <c r="C87" t="s">
        <v>148</v>
      </c>
      <c r="D87" t="s">
        <v>149</v>
      </c>
      <c r="E87" s="3">
        <v>45689</v>
      </c>
      <c r="F87">
        <v>9</v>
      </c>
      <c r="G87">
        <v>14</v>
      </c>
      <c r="H87" t="s">
        <v>78</v>
      </c>
      <c r="I87" t="s">
        <v>68</v>
      </c>
      <c r="J87">
        <v>2025</v>
      </c>
      <c r="K87">
        <v>2</v>
      </c>
      <c r="L87" s="3">
        <v>45689</v>
      </c>
    </row>
    <row r="88" spans="1:12">
      <c r="A88" t="s">
        <v>163</v>
      </c>
      <c r="B88" t="s">
        <v>148</v>
      </c>
      <c r="C88" t="s">
        <v>148</v>
      </c>
      <c r="D88" t="s">
        <v>149</v>
      </c>
      <c r="E88" s="3">
        <v>45717</v>
      </c>
      <c r="F88">
        <v>0</v>
      </c>
      <c r="G88">
        <v>0</v>
      </c>
      <c r="H88" t="s">
        <v>73</v>
      </c>
      <c r="I88" t="s">
        <v>68</v>
      </c>
      <c r="J88">
        <v>2025</v>
      </c>
      <c r="K88">
        <v>3</v>
      </c>
      <c r="L88" s="3">
        <v>45717</v>
      </c>
    </row>
    <row r="89" spans="1:12">
      <c r="A89" t="s">
        <v>164</v>
      </c>
      <c r="B89" t="s">
        <v>148</v>
      </c>
      <c r="C89" t="s">
        <v>148</v>
      </c>
      <c r="D89" t="s">
        <v>149</v>
      </c>
      <c r="E89" s="3">
        <v>45748</v>
      </c>
      <c r="F89">
        <v>16</v>
      </c>
      <c r="G89">
        <v>20</v>
      </c>
      <c r="H89" t="s">
        <v>71</v>
      </c>
      <c r="I89" t="s">
        <v>68</v>
      </c>
      <c r="J89">
        <v>2025</v>
      </c>
      <c r="K89">
        <v>4</v>
      </c>
      <c r="L89" s="3">
        <v>45748</v>
      </c>
    </row>
    <row r="90" spans="1:12">
      <c r="A90" t="s">
        <v>165</v>
      </c>
      <c r="B90" t="s">
        <v>148</v>
      </c>
      <c r="C90" t="s">
        <v>148</v>
      </c>
      <c r="D90" t="s">
        <v>149</v>
      </c>
      <c r="E90" s="3">
        <v>45778</v>
      </c>
      <c r="F90">
        <v>16</v>
      </c>
      <c r="G90">
        <v>16</v>
      </c>
      <c r="H90" t="s">
        <v>71</v>
      </c>
      <c r="I90" t="s">
        <v>68</v>
      </c>
      <c r="J90">
        <v>2025</v>
      </c>
      <c r="K90">
        <v>5</v>
      </c>
      <c r="L90" s="3">
        <v>45778</v>
      </c>
    </row>
    <row r="91" spans="1:12">
      <c r="A91" t="s">
        <v>166</v>
      </c>
      <c r="B91" t="s">
        <v>148</v>
      </c>
      <c r="C91" t="s">
        <v>148</v>
      </c>
      <c r="D91" t="s">
        <v>149</v>
      </c>
      <c r="E91" s="3">
        <v>45809</v>
      </c>
      <c r="F91">
        <v>14</v>
      </c>
      <c r="G91">
        <v>14</v>
      </c>
      <c r="H91" t="s">
        <v>78</v>
      </c>
      <c r="I91" t="s">
        <v>68</v>
      </c>
      <c r="J91">
        <v>2025</v>
      </c>
      <c r="K91">
        <v>6</v>
      </c>
      <c r="L91" s="3">
        <v>45809</v>
      </c>
    </row>
    <row r="92" spans="1:12">
      <c r="A92" t="s">
        <v>167</v>
      </c>
      <c r="B92" t="s">
        <v>168</v>
      </c>
      <c r="C92" t="s">
        <v>168</v>
      </c>
      <c r="D92" t="s">
        <v>169</v>
      </c>
      <c r="E92" s="3">
        <v>45292</v>
      </c>
      <c r="F92">
        <v>69</v>
      </c>
      <c r="G92">
        <v>68</v>
      </c>
      <c r="H92" t="s">
        <v>71</v>
      </c>
      <c r="I92" t="s">
        <v>68</v>
      </c>
      <c r="J92">
        <v>2024</v>
      </c>
      <c r="K92">
        <v>1</v>
      </c>
      <c r="L92" s="3">
        <v>45292</v>
      </c>
    </row>
    <row r="93" spans="1:12">
      <c r="A93" t="s">
        <v>170</v>
      </c>
      <c r="B93" t="s">
        <v>168</v>
      </c>
      <c r="C93" t="s">
        <v>168</v>
      </c>
      <c r="D93" t="s">
        <v>169</v>
      </c>
      <c r="E93" s="3">
        <v>45323</v>
      </c>
      <c r="F93">
        <v>73</v>
      </c>
      <c r="G93">
        <v>78</v>
      </c>
      <c r="H93" t="s">
        <v>78</v>
      </c>
      <c r="I93" t="s">
        <v>68</v>
      </c>
      <c r="J93">
        <v>2024</v>
      </c>
      <c r="K93">
        <v>2</v>
      </c>
      <c r="L93" s="3">
        <v>45323</v>
      </c>
    </row>
    <row r="94" spans="1:12">
      <c r="A94" t="s">
        <v>171</v>
      </c>
      <c r="B94" t="s">
        <v>168</v>
      </c>
      <c r="C94" t="s">
        <v>168</v>
      </c>
      <c r="D94" t="s">
        <v>169</v>
      </c>
      <c r="E94" s="3">
        <v>45352</v>
      </c>
      <c r="F94">
        <v>61</v>
      </c>
      <c r="G94">
        <v>58</v>
      </c>
      <c r="H94" t="s">
        <v>78</v>
      </c>
      <c r="I94" t="s">
        <v>68</v>
      </c>
      <c r="J94">
        <v>2024</v>
      </c>
      <c r="K94">
        <v>3</v>
      </c>
      <c r="L94" s="3">
        <v>45352</v>
      </c>
    </row>
    <row r="95" spans="1:12">
      <c r="A95" t="s">
        <v>172</v>
      </c>
      <c r="B95" t="s">
        <v>168</v>
      </c>
      <c r="C95" t="s">
        <v>168</v>
      </c>
      <c r="D95" t="s">
        <v>169</v>
      </c>
      <c r="E95" s="3">
        <v>45383</v>
      </c>
      <c r="F95">
        <v>54</v>
      </c>
      <c r="G95">
        <v>50</v>
      </c>
      <c r="H95" t="s">
        <v>71</v>
      </c>
      <c r="I95" t="s">
        <v>68</v>
      </c>
      <c r="J95">
        <v>2024</v>
      </c>
      <c r="K95">
        <v>4</v>
      </c>
      <c r="L95" s="3">
        <v>45383</v>
      </c>
    </row>
    <row r="96" spans="1:12">
      <c r="A96" t="s">
        <v>173</v>
      </c>
      <c r="B96" t="s">
        <v>168</v>
      </c>
      <c r="C96" t="s">
        <v>168</v>
      </c>
      <c r="D96" t="s">
        <v>169</v>
      </c>
      <c r="E96" s="3">
        <v>45413</v>
      </c>
      <c r="F96">
        <v>54</v>
      </c>
      <c r="G96">
        <v>53</v>
      </c>
      <c r="H96" t="s">
        <v>67</v>
      </c>
      <c r="I96" t="s">
        <v>68</v>
      </c>
      <c r="J96">
        <v>2024</v>
      </c>
      <c r="K96">
        <v>5</v>
      </c>
      <c r="L96" s="3">
        <v>45413</v>
      </c>
    </row>
    <row r="97" spans="1:12">
      <c r="A97" t="s">
        <v>174</v>
      </c>
      <c r="B97" t="s">
        <v>168</v>
      </c>
      <c r="C97" t="s">
        <v>168</v>
      </c>
      <c r="D97" t="s">
        <v>169</v>
      </c>
      <c r="E97" s="3">
        <v>45444</v>
      </c>
      <c r="F97">
        <v>48</v>
      </c>
      <c r="G97">
        <v>48</v>
      </c>
      <c r="H97" t="s">
        <v>67</v>
      </c>
      <c r="I97" t="s">
        <v>68</v>
      </c>
      <c r="J97">
        <v>2024</v>
      </c>
      <c r="K97">
        <v>6</v>
      </c>
      <c r="L97" s="3">
        <v>45444</v>
      </c>
    </row>
    <row r="98" spans="1:12">
      <c r="A98" t="s">
        <v>175</v>
      </c>
      <c r="B98" t="s">
        <v>168</v>
      </c>
      <c r="C98" t="s">
        <v>168</v>
      </c>
      <c r="D98" t="s">
        <v>169</v>
      </c>
      <c r="E98" s="3">
        <v>45474</v>
      </c>
      <c r="F98">
        <v>45</v>
      </c>
      <c r="G98">
        <v>48</v>
      </c>
      <c r="H98" t="s">
        <v>73</v>
      </c>
      <c r="I98" t="s">
        <v>68</v>
      </c>
      <c r="J98">
        <v>2024</v>
      </c>
      <c r="K98">
        <v>7</v>
      </c>
      <c r="L98" s="3">
        <v>45474</v>
      </c>
    </row>
    <row r="99" spans="1:12">
      <c r="A99" t="s">
        <v>176</v>
      </c>
      <c r="B99" t="s">
        <v>168</v>
      </c>
      <c r="C99" t="s">
        <v>168</v>
      </c>
      <c r="D99" t="s">
        <v>169</v>
      </c>
      <c r="E99" s="3">
        <v>45505</v>
      </c>
      <c r="F99">
        <v>34</v>
      </c>
      <c r="G99">
        <v>33</v>
      </c>
      <c r="H99" t="s">
        <v>71</v>
      </c>
      <c r="I99" t="s">
        <v>68</v>
      </c>
      <c r="J99">
        <v>2024</v>
      </c>
      <c r="K99">
        <v>8</v>
      </c>
      <c r="L99" s="3">
        <v>45505</v>
      </c>
    </row>
    <row r="100" spans="1:12">
      <c r="A100" t="s">
        <v>177</v>
      </c>
      <c r="B100" t="s">
        <v>168</v>
      </c>
      <c r="C100" t="s">
        <v>168</v>
      </c>
      <c r="D100" t="s">
        <v>169</v>
      </c>
      <c r="E100" s="3">
        <v>45536</v>
      </c>
      <c r="F100">
        <v>57</v>
      </c>
      <c r="G100">
        <v>56</v>
      </c>
      <c r="H100" t="s">
        <v>71</v>
      </c>
      <c r="I100" t="s">
        <v>68</v>
      </c>
      <c r="J100">
        <v>2024</v>
      </c>
      <c r="K100">
        <v>9</v>
      </c>
      <c r="L100" s="3">
        <v>45536</v>
      </c>
    </row>
    <row r="101" spans="1:12">
      <c r="A101" t="s">
        <v>178</v>
      </c>
      <c r="B101" t="s">
        <v>168</v>
      </c>
      <c r="C101" t="s">
        <v>168</v>
      </c>
      <c r="D101" t="s">
        <v>169</v>
      </c>
      <c r="E101" s="3">
        <v>45566</v>
      </c>
      <c r="F101">
        <v>53</v>
      </c>
      <c r="G101">
        <v>48</v>
      </c>
      <c r="H101" t="s">
        <v>78</v>
      </c>
      <c r="I101" t="s">
        <v>68</v>
      </c>
      <c r="J101">
        <v>2024</v>
      </c>
      <c r="K101">
        <v>10</v>
      </c>
      <c r="L101" s="3">
        <v>45566</v>
      </c>
    </row>
    <row r="102" spans="1:12">
      <c r="A102" t="s">
        <v>179</v>
      </c>
      <c r="B102" t="s">
        <v>168</v>
      </c>
      <c r="C102" t="s">
        <v>168</v>
      </c>
      <c r="D102" t="s">
        <v>169</v>
      </c>
      <c r="E102" s="3">
        <v>45597</v>
      </c>
      <c r="F102">
        <v>49</v>
      </c>
      <c r="G102">
        <v>48</v>
      </c>
      <c r="H102" t="s">
        <v>67</v>
      </c>
      <c r="I102" t="s">
        <v>68</v>
      </c>
      <c r="J102">
        <v>2024</v>
      </c>
      <c r="K102">
        <v>11</v>
      </c>
      <c r="L102" s="3">
        <v>45597</v>
      </c>
    </row>
    <row r="103" spans="1:12">
      <c r="A103" t="s">
        <v>180</v>
      </c>
      <c r="B103" t="s">
        <v>168</v>
      </c>
      <c r="C103" t="s">
        <v>168</v>
      </c>
      <c r="D103" t="s">
        <v>169</v>
      </c>
      <c r="E103" s="3">
        <v>45627</v>
      </c>
      <c r="F103">
        <v>33</v>
      </c>
      <c r="G103">
        <v>35</v>
      </c>
      <c r="H103" t="s">
        <v>73</v>
      </c>
      <c r="I103" t="s">
        <v>68</v>
      </c>
      <c r="J103">
        <v>2024</v>
      </c>
      <c r="K103">
        <v>12</v>
      </c>
      <c r="L103" s="3">
        <v>45627</v>
      </c>
    </row>
    <row r="104" spans="1:12">
      <c r="A104" t="s">
        <v>181</v>
      </c>
      <c r="B104" t="s">
        <v>168</v>
      </c>
      <c r="C104" t="s">
        <v>168</v>
      </c>
      <c r="D104" t="s">
        <v>169</v>
      </c>
      <c r="E104" s="3">
        <v>45658</v>
      </c>
      <c r="F104">
        <v>40</v>
      </c>
      <c r="G104">
        <v>37</v>
      </c>
      <c r="H104" t="s">
        <v>71</v>
      </c>
      <c r="I104" t="s">
        <v>68</v>
      </c>
      <c r="J104">
        <v>2025</v>
      </c>
      <c r="K104">
        <v>1</v>
      </c>
      <c r="L104" s="3">
        <v>45658</v>
      </c>
    </row>
    <row r="105" spans="1:12">
      <c r="A105" t="s">
        <v>182</v>
      </c>
      <c r="B105" t="s">
        <v>168</v>
      </c>
      <c r="C105" t="s">
        <v>168</v>
      </c>
      <c r="D105" t="s">
        <v>169</v>
      </c>
      <c r="E105" s="3">
        <v>45689</v>
      </c>
      <c r="F105">
        <v>42</v>
      </c>
      <c r="G105">
        <v>42</v>
      </c>
      <c r="H105" t="s">
        <v>67</v>
      </c>
      <c r="I105" t="s">
        <v>68</v>
      </c>
      <c r="J105">
        <v>2025</v>
      </c>
      <c r="K105">
        <v>2</v>
      </c>
      <c r="L105" s="3">
        <v>45689</v>
      </c>
    </row>
    <row r="106" spans="1:12">
      <c r="A106" t="s">
        <v>183</v>
      </c>
      <c r="B106" t="s">
        <v>168</v>
      </c>
      <c r="C106" t="s">
        <v>168</v>
      </c>
      <c r="D106" t="s">
        <v>169</v>
      </c>
      <c r="E106" s="3">
        <v>45717</v>
      </c>
      <c r="F106">
        <v>40</v>
      </c>
      <c r="G106">
        <v>40</v>
      </c>
      <c r="H106" t="s">
        <v>71</v>
      </c>
      <c r="I106" t="s">
        <v>68</v>
      </c>
      <c r="J106">
        <v>2025</v>
      </c>
      <c r="K106">
        <v>3</v>
      </c>
      <c r="L106" s="3">
        <v>45717</v>
      </c>
    </row>
    <row r="107" spans="1:12">
      <c r="A107" t="s">
        <v>184</v>
      </c>
      <c r="B107" t="s">
        <v>168</v>
      </c>
      <c r="C107" t="s">
        <v>168</v>
      </c>
      <c r="D107" t="s">
        <v>169</v>
      </c>
      <c r="E107" s="3">
        <v>45748</v>
      </c>
      <c r="F107">
        <v>42</v>
      </c>
      <c r="G107">
        <v>42</v>
      </c>
      <c r="H107" t="s">
        <v>67</v>
      </c>
      <c r="I107" t="s">
        <v>68</v>
      </c>
      <c r="J107">
        <v>2025</v>
      </c>
      <c r="K107">
        <v>4</v>
      </c>
      <c r="L107" s="3">
        <v>45748</v>
      </c>
    </row>
    <row r="108" spans="1:12">
      <c r="A108" t="s">
        <v>185</v>
      </c>
      <c r="B108" t="s">
        <v>168</v>
      </c>
      <c r="C108" t="s">
        <v>168</v>
      </c>
      <c r="D108" t="s">
        <v>169</v>
      </c>
      <c r="E108" s="3">
        <v>45778</v>
      </c>
      <c r="F108">
        <v>34</v>
      </c>
      <c r="G108">
        <v>34</v>
      </c>
      <c r="H108" t="s">
        <v>73</v>
      </c>
      <c r="I108" t="s">
        <v>68</v>
      </c>
      <c r="J108">
        <v>2025</v>
      </c>
      <c r="K108">
        <v>5</v>
      </c>
      <c r="L108" s="3">
        <v>45778</v>
      </c>
    </row>
    <row r="109" spans="1:12">
      <c r="A109" t="s">
        <v>186</v>
      </c>
      <c r="B109" t="s">
        <v>168</v>
      </c>
      <c r="C109" t="s">
        <v>168</v>
      </c>
      <c r="D109" t="s">
        <v>169</v>
      </c>
      <c r="E109" s="3">
        <v>45809</v>
      </c>
      <c r="F109">
        <v>26</v>
      </c>
      <c r="G109">
        <v>30</v>
      </c>
      <c r="H109" t="s">
        <v>67</v>
      </c>
      <c r="I109" t="s">
        <v>68</v>
      </c>
      <c r="J109">
        <v>2025</v>
      </c>
      <c r="K109">
        <v>6</v>
      </c>
      <c r="L109" s="3">
        <v>45809</v>
      </c>
    </row>
    <row r="110" spans="1:12">
      <c r="A110" t="s">
        <v>187</v>
      </c>
      <c r="B110" t="s">
        <v>49</v>
      </c>
      <c r="C110" t="s">
        <v>49</v>
      </c>
      <c r="D110" t="s">
        <v>188</v>
      </c>
      <c r="E110" s="3">
        <v>45292</v>
      </c>
      <c r="F110">
        <v>73</v>
      </c>
      <c r="G110">
        <v>70</v>
      </c>
      <c r="H110" t="s">
        <v>67</v>
      </c>
      <c r="I110" t="s">
        <v>68</v>
      </c>
      <c r="J110">
        <v>2024</v>
      </c>
      <c r="K110">
        <v>1</v>
      </c>
      <c r="L110" s="3">
        <v>45292</v>
      </c>
    </row>
    <row r="111" spans="1:12">
      <c r="A111" t="s">
        <v>189</v>
      </c>
      <c r="B111" t="s">
        <v>49</v>
      </c>
      <c r="C111" t="s">
        <v>49</v>
      </c>
      <c r="D111" t="s">
        <v>188</v>
      </c>
      <c r="E111" s="3">
        <v>45323</v>
      </c>
      <c r="F111">
        <v>61</v>
      </c>
      <c r="G111">
        <v>62</v>
      </c>
      <c r="H111" t="s">
        <v>71</v>
      </c>
      <c r="I111" t="s">
        <v>68</v>
      </c>
      <c r="J111">
        <v>2024</v>
      </c>
      <c r="K111">
        <v>2</v>
      </c>
      <c r="L111" s="3">
        <v>45323</v>
      </c>
    </row>
    <row r="112" spans="1:12">
      <c r="A112" t="s">
        <v>190</v>
      </c>
      <c r="B112" t="s">
        <v>49</v>
      </c>
      <c r="C112" t="s">
        <v>49</v>
      </c>
      <c r="D112" t="s">
        <v>188</v>
      </c>
      <c r="E112" s="3">
        <v>45352</v>
      </c>
      <c r="F112">
        <v>82</v>
      </c>
      <c r="G112">
        <v>83</v>
      </c>
      <c r="H112" t="s">
        <v>67</v>
      </c>
      <c r="I112" t="s">
        <v>68</v>
      </c>
      <c r="J112">
        <v>2024</v>
      </c>
      <c r="K112">
        <v>3</v>
      </c>
      <c r="L112" s="3">
        <v>45352</v>
      </c>
    </row>
    <row r="113" spans="1:12">
      <c r="A113" t="s">
        <v>191</v>
      </c>
      <c r="B113" t="s">
        <v>49</v>
      </c>
      <c r="C113" t="s">
        <v>49</v>
      </c>
      <c r="D113" t="s">
        <v>188</v>
      </c>
      <c r="E113" s="3">
        <v>45383</v>
      </c>
      <c r="F113">
        <v>100</v>
      </c>
      <c r="G113">
        <v>99</v>
      </c>
      <c r="H113" t="s">
        <v>67</v>
      </c>
      <c r="I113" t="s">
        <v>68</v>
      </c>
      <c r="J113">
        <v>2024</v>
      </c>
      <c r="K113">
        <v>4</v>
      </c>
      <c r="L113" s="3">
        <v>45383</v>
      </c>
    </row>
    <row r="114" spans="1:12">
      <c r="A114" t="s">
        <v>192</v>
      </c>
      <c r="B114" t="s">
        <v>49</v>
      </c>
      <c r="C114" t="s">
        <v>49</v>
      </c>
      <c r="D114" t="s">
        <v>188</v>
      </c>
      <c r="E114" s="3">
        <v>45413</v>
      </c>
      <c r="F114">
        <v>75</v>
      </c>
      <c r="G114">
        <v>70</v>
      </c>
      <c r="H114" t="s">
        <v>73</v>
      </c>
      <c r="I114" t="s">
        <v>68</v>
      </c>
      <c r="J114">
        <v>2024</v>
      </c>
      <c r="K114">
        <v>5</v>
      </c>
      <c r="L114" s="3">
        <v>45413</v>
      </c>
    </row>
    <row r="115" spans="1:12">
      <c r="A115" t="s">
        <v>193</v>
      </c>
      <c r="B115" t="s">
        <v>49</v>
      </c>
      <c r="C115" t="s">
        <v>49</v>
      </c>
      <c r="D115" t="s">
        <v>188</v>
      </c>
      <c r="E115" s="3">
        <v>45444</v>
      </c>
      <c r="F115">
        <v>69</v>
      </c>
      <c r="G115">
        <v>67</v>
      </c>
      <c r="H115" t="s">
        <v>67</v>
      </c>
      <c r="I115" t="s">
        <v>68</v>
      </c>
      <c r="J115">
        <v>2024</v>
      </c>
      <c r="K115">
        <v>6</v>
      </c>
      <c r="L115" s="3">
        <v>45444</v>
      </c>
    </row>
    <row r="116" spans="1:12">
      <c r="A116" t="s">
        <v>194</v>
      </c>
      <c r="B116" t="s">
        <v>49</v>
      </c>
      <c r="C116" t="s">
        <v>49</v>
      </c>
      <c r="D116" t="s">
        <v>188</v>
      </c>
      <c r="E116" s="3">
        <v>45474</v>
      </c>
      <c r="F116">
        <v>84</v>
      </c>
      <c r="G116">
        <v>83</v>
      </c>
      <c r="H116" t="s">
        <v>67</v>
      </c>
      <c r="I116" t="s">
        <v>68</v>
      </c>
      <c r="J116">
        <v>2024</v>
      </c>
      <c r="K116">
        <v>7</v>
      </c>
      <c r="L116" s="3">
        <v>45474</v>
      </c>
    </row>
    <row r="117" spans="1:12">
      <c r="A117" t="s">
        <v>195</v>
      </c>
      <c r="B117" t="s">
        <v>49</v>
      </c>
      <c r="C117" t="s">
        <v>49</v>
      </c>
      <c r="D117" t="s">
        <v>188</v>
      </c>
      <c r="E117" s="3">
        <v>45505</v>
      </c>
      <c r="F117">
        <v>66</v>
      </c>
      <c r="G117">
        <v>64</v>
      </c>
      <c r="H117" t="s">
        <v>71</v>
      </c>
      <c r="I117" t="s">
        <v>68</v>
      </c>
      <c r="J117">
        <v>2024</v>
      </c>
      <c r="K117">
        <v>8</v>
      </c>
      <c r="L117" s="3">
        <v>45505</v>
      </c>
    </row>
    <row r="118" spans="1:12">
      <c r="A118" t="s">
        <v>196</v>
      </c>
      <c r="B118" t="s">
        <v>49</v>
      </c>
      <c r="C118" t="s">
        <v>49</v>
      </c>
      <c r="D118" t="s">
        <v>188</v>
      </c>
      <c r="E118" s="3">
        <v>45536</v>
      </c>
      <c r="F118">
        <v>75</v>
      </c>
      <c r="G118">
        <v>74</v>
      </c>
      <c r="H118" t="s">
        <v>71</v>
      </c>
      <c r="I118" t="s">
        <v>68</v>
      </c>
      <c r="J118">
        <v>2024</v>
      </c>
      <c r="K118">
        <v>9</v>
      </c>
      <c r="L118" s="3">
        <v>45536</v>
      </c>
    </row>
    <row r="119" spans="1:12">
      <c r="A119" t="s">
        <v>197</v>
      </c>
      <c r="B119" t="s">
        <v>49</v>
      </c>
      <c r="C119" t="s">
        <v>49</v>
      </c>
      <c r="D119" t="s">
        <v>188</v>
      </c>
      <c r="E119" s="3">
        <v>45566</v>
      </c>
      <c r="F119">
        <v>73</v>
      </c>
      <c r="G119">
        <v>72</v>
      </c>
      <c r="H119" t="s">
        <v>78</v>
      </c>
      <c r="I119" t="s">
        <v>68</v>
      </c>
      <c r="J119">
        <v>2024</v>
      </c>
      <c r="K119">
        <v>10</v>
      </c>
      <c r="L119" s="3">
        <v>45566</v>
      </c>
    </row>
    <row r="120" spans="1:12">
      <c r="A120" t="s">
        <v>198</v>
      </c>
      <c r="B120" t="s">
        <v>49</v>
      </c>
      <c r="C120" t="s">
        <v>49</v>
      </c>
      <c r="D120" t="s">
        <v>188</v>
      </c>
      <c r="E120" s="3">
        <v>45597</v>
      </c>
      <c r="F120">
        <v>78</v>
      </c>
      <c r="G120">
        <v>81</v>
      </c>
      <c r="H120" t="s">
        <v>78</v>
      </c>
      <c r="I120" t="s">
        <v>68</v>
      </c>
      <c r="J120">
        <v>2024</v>
      </c>
      <c r="K120">
        <v>11</v>
      </c>
      <c r="L120" s="3">
        <v>45597</v>
      </c>
    </row>
    <row r="121" spans="1:12">
      <c r="A121" t="s">
        <v>199</v>
      </c>
      <c r="B121" t="s">
        <v>49</v>
      </c>
      <c r="C121" t="s">
        <v>49</v>
      </c>
      <c r="D121" t="s">
        <v>188</v>
      </c>
      <c r="E121" s="3">
        <v>45627</v>
      </c>
      <c r="F121">
        <v>79</v>
      </c>
      <c r="G121">
        <v>74</v>
      </c>
      <c r="H121" t="s">
        <v>71</v>
      </c>
      <c r="I121" t="s">
        <v>68</v>
      </c>
      <c r="J121">
        <v>2024</v>
      </c>
      <c r="K121">
        <v>12</v>
      </c>
      <c r="L121" s="3">
        <v>45627</v>
      </c>
    </row>
    <row r="122" spans="1:12">
      <c r="A122" t="s">
        <v>200</v>
      </c>
      <c r="B122" t="s">
        <v>49</v>
      </c>
      <c r="C122" t="s">
        <v>49</v>
      </c>
      <c r="D122" t="s">
        <v>188</v>
      </c>
      <c r="E122" s="3">
        <v>45658</v>
      </c>
      <c r="F122">
        <v>100</v>
      </c>
      <c r="G122">
        <v>104</v>
      </c>
      <c r="H122" t="s">
        <v>78</v>
      </c>
      <c r="I122" t="s">
        <v>68</v>
      </c>
      <c r="J122">
        <v>2025</v>
      </c>
      <c r="K122">
        <v>1</v>
      </c>
      <c r="L122" s="3">
        <v>45658</v>
      </c>
    </row>
    <row r="123" spans="1:12">
      <c r="A123" t="s">
        <v>201</v>
      </c>
      <c r="B123" t="s">
        <v>49</v>
      </c>
      <c r="C123" t="s">
        <v>49</v>
      </c>
      <c r="D123" t="s">
        <v>188</v>
      </c>
      <c r="E123" s="3">
        <v>45689</v>
      </c>
      <c r="F123">
        <v>87</v>
      </c>
      <c r="G123">
        <v>82</v>
      </c>
      <c r="H123" t="s">
        <v>71</v>
      </c>
      <c r="I123" t="s">
        <v>68</v>
      </c>
      <c r="J123">
        <v>2025</v>
      </c>
      <c r="K123">
        <v>2</v>
      </c>
      <c r="L123" s="3">
        <v>45689</v>
      </c>
    </row>
    <row r="124" spans="1:12">
      <c r="A124" t="s">
        <v>202</v>
      </c>
      <c r="B124" t="s">
        <v>49</v>
      </c>
      <c r="C124" t="s">
        <v>49</v>
      </c>
      <c r="D124" t="s">
        <v>188</v>
      </c>
      <c r="E124" s="3">
        <v>45717</v>
      </c>
      <c r="F124">
        <v>86</v>
      </c>
      <c r="G124">
        <v>86</v>
      </c>
      <c r="H124" t="s">
        <v>73</v>
      </c>
      <c r="I124" t="s">
        <v>68</v>
      </c>
      <c r="J124">
        <v>2025</v>
      </c>
      <c r="K124">
        <v>3</v>
      </c>
      <c r="L124" s="3">
        <v>45717</v>
      </c>
    </row>
    <row r="125" spans="1:12">
      <c r="A125" t="s">
        <v>203</v>
      </c>
      <c r="B125" t="s">
        <v>49</v>
      </c>
      <c r="C125" t="s">
        <v>49</v>
      </c>
      <c r="D125" t="s">
        <v>188</v>
      </c>
      <c r="E125" s="3">
        <v>45748</v>
      </c>
      <c r="F125">
        <v>92</v>
      </c>
      <c r="G125">
        <v>96</v>
      </c>
      <c r="H125" t="s">
        <v>71</v>
      </c>
      <c r="I125" t="s">
        <v>68</v>
      </c>
      <c r="J125">
        <v>2025</v>
      </c>
      <c r="K125">
        <v>4</v>
      </c>
      <c r="L125" s="3">
        <v>45748</v>
      </c>
    </row>
    <row r="126" spans="1:12">
      <c r="A126" t="s">
        <v>204</v>
      </c>
      <c r="B126" t="s">
        <v>49</v>
      </c>
      <c r="C126" t="s">
        <v>49</v>
      </c>
      <c r="D126" t="s">
        <v>188</v>
      </c>
      <c r="E126" s="3">
        <v>45778</v>
      </c>
      <c r="F126">
        <v>88</v>
      </c>
      <c r="G126">
        <v>87</v>
      </c>
      <c r="H126" t="s">
        <v>71</v>
      </c>
      <c r="I126" t="s">
        <v>68</v>
      </c>
      <c r="J126">
        <v>2025</v>
      </c>
      <c r="K126">
        <v>5</v>
      </c>
      <c r="L126" s="3">
        <v>45778</v>
      </c>
    </row>
    <row r="127" spans="1:12">
      <c r="A127" t="s">
        <v>205</v>
      </c>
      <c r="B127" t="s">
        <v>49</v>
      </c>
      <c r="C127" t="s">
        <v>49</v>
      </c>
      <c r="D127" t="s">
        <v>188</v>
      </c>
      <c r="E127" s="3">
        <v>45809</v>
      </c>
      <c r="F127">
        <v>117</v>
      </c>
      <c r="G127">
        <v>118</v>
      </c>
      <c r="H127" t="s">
        <v>71</v>
      </c>
      <c r="I127" t="s">
        <v>68</v>
      </c>
      <c r="J127">
        <v>2025</v>
      </c>
      <c r="K127">
        <v>6</v>
      </c>
      <c r="L127" s="3">
        <v>45809</v>
      </c>
    </row>
    <row r="128" spans="1:12">
      <c r="A128" t="s">
        <v>206</v>
      </c>
      <c r="B128" t="s">
        <v>207</v>
      </c>
      <c r="C128" t="s">
        <v>207</v>
      </c>
      <c r="D128" t="s">
        <v>208</v>
      </c>
      <c r="E128" s="3">
        <v>45292</v>
      </c>
      <c r="F128">
        <v>19</v>
      </c>
      <c r="G128">
        <v>24</v>
      </c>
      <c r="H128" t="s">
        <v>67</v>
      </c>
      <c r="I128" t="s">
        <v>68</v>
      </c>
      <c r="J128">
        <v>2024</v>
      </c>
      <c r="K128">
        <v>1</v>
      </c>
      <c r="L128" s="3">
        <v>45292</v>
      </c>
    </row>
    <row r="129" spans="1:12">
      <c r="A129" t="s">
        <v>209</v>
      </c>
      <c r="B129" t="s">
        <v>207</v>
      </c>
      <c r="C129" t="s">
        <v>207</v>
      </c>
      <c r="D129" t="s">
        <v>208</v>
      </c>
      <c r="E129" s="3">
        <v>45323</v>
      </c>
      <c r="F129">
        <v>31</v>
      </c>
      <c r="G129">
        <v>31</v>
      </c>
      <c r="H129" t="s">
        <v>73</v>
      </c>
      <c r="I129" t="s">
        <v>68</v>
      </c>
      <c r="J129">
        <v>2024</v>
      </c>
      <c r="K129">
        <v>2</v>
      </c>
      <c r="L129" s="3">
        <v>45323</v>
      </c>
    </row>
    <row r="130" spans="1:12">
      <c r="A130" t="s">
        <v>210</v>
      </c>
      <c r="B130" t="s">
        <v>207</v>
      </c>
      <c r="C130" t="s">
        <v>207</v>
      </c>
      <c r="D130" t="s">
        <v>208</v>
      </c>
      <c r="E130" s="3">
        <v>45352</v>
      </c>
      <c r="F130">
        <v>67</v>
      </c>
      <c r="G130">
        <v>67</v>
      </c>
      <c r="H130" t="s">
        <v>78</v>
      </c>
      <c r="I130" t="s">
        <v>68</v>
      </c>
      <c r="J130">
        <v>2024</v>
      </c>
      <c r="K130">
        <v>3</v>
      </c>
      <c r="L130" s="3">
        <v>45352</v>
      </c>
    </row>
    <row r="131" spans="1:12">
      <c r="A131" t="s">
        <v>211</v>
      </c>
      <c r="B131" t="s">
        <v>207</v>
      </c>
      <c r="C131" t="s">
        <v>207</v>
      </c>
      <c r="D131" t="s">
        <v>208</v>
      </c>
      <c r="E131" s="3">
        <v>45383</v>
      </c>
      <c r="F131">
        <v>61</v>
      </c>
      <c r="G131">
        <v>66</v>
      </c>
      <c r="H131" t="s">
        <v>71</v>
      </c>
      <c r="I131" t="s">
        <v>68</v>
      </c>
      <c r="J131">
        <v>2024</v>
      </c>
      <c r="K131">
        <v>4</v>
      </c>
      <c r="L131" s="3">
        <v>45383</v>
      </c>
    </row>
    <row r="132" spans="1:12">
      <c r="A132" t="s">
        <v>212</v>
      </c>
      <c r="B132" t="s">
        <v>207</v>
      </c>
      <c r="C132" t="s">
        <v>207</v>
      </c>
      <c r="D132" t="s">
        <v>208</v>
      </c>
      <c r="E132" s="3">
        <v>45413</v>
      </c>
      <c r="F132">
        <v>43</v>
      </c>
      <c r="G132">
        <v>42</v>
      </c>
      <c r="H132" t="s">
        <v>73</v>
      </c>
      <c r="I132" t="s">
        <v>68</v>
      </c>
      <c r="J132">
        <v>2024</v>
      </c>
      <c r="K132">
        <v>5</v>
      </c>
      <c r="L132" s="3">
        <v>45413</v>
      </c>
    </row>
    <row r="133" spans="1:12">
      <c r="A133" t="s">
        <v>213</v>
      </c>
      <c r="B133" t="s">
        <v>207</v>
      </c>
      <c r="C133" t="s">
        <v>207</v>
      </c>
      <c r="D133" t="s">
        <v>208</v>
      </c>
      <c r="E133" s="3">
        <v>45444</v>
      </c>
      <c r="F133">
        <v>38</v>
      </c>
      <c r="G133">
        <v>38</v>
      </c>
      <c r="H133" t="s">
        <v>73</v>
      </c>
      <c r="I133" t="s">
        <v>68</v>
      </c>
      <c r="J133">
        <v>2024</v>
      </c>
      <c r="K133">
        <v>6</v>
      </c>
      <c r="L133" s="3">
        <v>45444</v>
      </c>
    </row>
    <row r="134" spans="1:12">
      <c r="A134" t="s">
        <v>214</v>
      </c>
      <c r="B134" t="s">
        <v>207</v>
      </c>
      <c r="C134" t="s">
        <v>207</v>
      </c>
      <c r="D134" t="s">
        <v>208</v>
      </c>
      <c r="E134" s="3">
        <v>45474</v>
      </c>
      <c r="F134">
        <v>30</v>
      </c>
      <c r="G134">
        <v>28</v>
      </c>
      <c r="H134" t="s">
        <v>73</v>
      </c>
      <c r="I134" t="s">
        <v>68</v>
      </c>
      <c r="J134">
        <v>2024</v>
      </c>
      <c r="K134">
        <v>7</v>
      </c>
      <c r="L134" s="3">
        <v>45474</v>
      </c>
    </row>
    <row r="135" spans="1:12">
      <c r="A135" t="s">
        <v>215</v>
      </c>
      <c r="B135" t="s">
        <v>207</v>
      </c>
      <c r="C135" t="s">
        <v>207</v>
      </c>
      <c r="D135" t="s">
        <v>208</v>
      </c>
      <c r="E135" s="3">
        <v>45505</v>
      </c>
      <c r="F135">
        <v>35</v>
      </c>
      <c r="G135">
        <v>40</v>
      </c>
      <c r="H135" t="s">
        <v>73</v>
      </c>
      <c r="I135" t="s">
        <v>68</v>
      </c>
      <c r="J135">
        <v>2024</v>
      </c>
      <c r="K135">
        <v>8</v>
      </c>
      <c r="L135" s="3">
        <v>45505</v>
      </c>
    </row>
    <row r="136" spans="1:12">
      <c r="A136" t="s">
        <v>216</v>
      </c>
      <c r="B136" t="s">
        <v>207</v>
      </c>
      <c r="C136" t="s">
        <v>207</v>
      </c>
      <c r="D136" t="s">
        <v>208</v>
      </c>
      <c r="E136" s="3">
        <v>45536</v>
      </c>
      <c r="F136">
        <v>48</v>
      </c>
      <c r="G136">
        <v>52</v>
      </c>
      <c r="H136" t="s">
        <v>78</v>
      </c>
      <c r="I136" t="s">
        <v>68</v>
      </c>
      <c r="J136">
        <v>2024</v>
      </c>
      <c r="K136">
        <v>9</v>
      </c>
      <c r="L136" s="3">
        <v>45536</v>
      </c>
    </row>
    <row r="137" spans="1:12">
      <c r="A137" t="s">
        <v>217</v>
      </c>
      <c r="B137" t="s">
        <v>207</v>
      </c>
      <c r="C137" t="s">
        <v>207</v>
      </c>
      <c r="D137" t="s">
        <v>208</v>
      </c>
      <c r="E137" s="3">
        <v>45566</v>
      </c>
      <c r="F137">
        <v>40</v>
      </c>
      <c r="G137">
        <v>41</v>
      </c>
      <c r="H137" t="s">
        <v>71</v>
      </c>
      <c r="I137" t="s">
        <v>68</v>
      </c>
      <c r="J137">
        <v>2024</v>
      </c>
      <c r="K137">
        <v>10</v>
      </c>
      <c r="L137" s="3">
        <v>45566</v>
      </c>
    </row>
    <row r="138" spans="1:12">
      <c r="A138" t="s">
        <v>218</v>
      </c>
      <c r="B138" t="s">
        <v>207</v>
      </c>
      <c r="C138" t="s">
        <v>207</v>
      </c>
      <c r="D138" t="s">
        <v>208</v>
      </c>
      <c r="E138" s="3">
        <v>45597</v>
      </c>
      <c r="F138">
        <v>54</v>
      </c>
      <c r="G138">
        <v>58</v>
      </c>
      <c r="H138" t="s">
        <v>78</v>
      </c>
      <c r="I138" t="s">
        <v>68</v>
      </c>
      <c r="J138">
        <v>2024</v>
      </c>
      <c r="K138">
        <v>11</v>
      </c>
      <c r="L138" s="3">
        <v>45597</v>
      </c>
    </row>
    <row r="139" spans="1:12">
      <c r="A139" t="s">
        <v>219</v>
      </c>
      <c r="B139" t="s">
        <v>207</v>
      </c>
      <c r="C139" t="s">
        <v>207</v>
      </c>
      <c r="D139" t="s">
        <v>208</v>
      </c>
      <c r="E139" s="3">
        <v>45627</v>
      </c>
      <c r="F139">
        <v>50</v>
      </c>
      <c r="G139">
        <v>52</v>
      </c>
      <c r="H139" t="s">
        <v>73</v>
      </c>
      <c r="I139" t="s">
        <v>68</v>
      </c>
      <c r="J139">
        <v>2024</v>
      </c>
      <c r="K139">
        <v>12</v>
      </c>
      <c r="L139" s="3">
        <v>45627</v>
      </c>
    </row>
    <row r="140" spans="1:12">
      <c r="A140" t="s">
        <v>220</v>
      </c>
      <c r="B140" t="s">
        <v>207</v>
      </c>
      <c r="C140" t="s">
        <v>207</v>
      </c>
      <c r="D140" t="s">
        <v>208</v>
      </c>
      <c r="E140" s="3">
        <v>45658</v>
      </c>
      <c r="F140">
        <v>28</v>
      </c>
      <c r="G140">
        <v>30</v>
      </c>
      <c r="H140" t="s">
        <v>67</v>
      </c>
      <c r="I140" t="s">
        <v>68</v>
      </c>
      <c r="J140">
        <v>2025</v>
      </c>
      <c r="K140">
        <v>1</v>
      </c>
      <c r="L140" s="3">
        <v>45658</v>
      </c>
    </row>
    <row r="141" spans="1:12">
      <c r="A141" t="s">
        <v>221</v>
      </c>
      <c r="B141" t="s">
        <v>207</v>
      </c>
      <c r="C141" t="s">
        <v>207</v>
      </c>
      <c r="D141" t="s">
        <v>208</v>
      </c>
      <c r="E141" s="3">
        <v>45689</v>
      </c>
      <c r="F141">
        <v>35</v>
      </c>
      <c r="G141">
        <v>40</v>
      </c>
      <c r="H141" t="s">
        <v>71</v>
      </c>
      <c r="I141" t="s">
        <v>68</v>
      </c>
      <c r="J141">
        <v>2025</v>
      </c>
      <c r="K141">
        <v>2</v>
      </c>
      <c r="L141" s="3">
        <v>45689</v>
      </c>
    </row>
    <row r="142" spans="1:12">
      <c r="A142" t="s">
        <v>222</v>
      </c>
      <c r="B142" t="s">
        <v>207</v>
      </c>
      <c r="C142" t="s">
        <v>207</v>
      </c>
      <c r="D142" t="s">
        <v>208</v>
      </c>
      <c r="E142" s="3">
        <v>45717</v>
      </c>
      <c r="F142">
        <v>53</v>
      </c>
      <c r="G142">
        <v>57</v>
      </c>
      <c r="H142" t="s">
        <v>78</v>
      </c>
      <c r="I142" t="s">
        <v>68</v>
      </c>
      <c r="J142">
        <v>2025</v>
      </c>
      <c r="K142">
        <v>3</v>
      </c>
      <c r="L142" s="3">
        <v>45717</v>
      </c>
    </row>
    <row r="143" spans="1:12">
      <c r="A143" t="s">
        <v>223</v>
      </c>
      <c r="B143" t="s">
        <v>207</v>
      </c>
      <c r="C143" t="s">
        <v>207</v>
      </c>
      <c r="D143" t="s">
        <v>208</v>
      </c>
      <c r="E143" s="3">
        <v>45748</v>
      </c>
      <c r="F143">
        <v>67</v>
      </c>
      <c r="G143">
        <v>63</v>
      </c>
      <c r="H143" t="s">
        <v>67</v>
      </c>
      <c r="I143" t="s">
        <v>68</v>
      </c>
      <c r="J143">
        <v>2025</v>
      </c>
      <c r="K143">
        <v>4</v>
      </c>
      <c r="L143" s="3">
        <v>45748</v>
      </c>
    </row>
    <row r="144" spans="1:12">
      <c r="A144" t="s">
        <v>224</v>
      </c>
      <c r="B144" t="s">
        <v>207</v>
      </c>
      <c r="C144" t="s">
        <v>207</v>
      </c>
      <c r="D144" t="s">
        <v>208</v>
      </c>
      <c r="E144" s="3">
        <v>45778</v>
      </c>
      <c r="F144">
        <v>42</v>
      </c>
      <c r="G144">
        <v>40</v>
      </c>
      <c r="H144" t="s">
        <v>67</v>
      </c>
      <c r="I144" t="s">
        <v>68</v>
      </c>
      <c r="J144">
        <v>2025</v>
      </c>
      <c r="K144">
        <v>5</v>
      </c>
      <c r="L144" s="3">
        <v>45778</v>
      </c>
    </row>
    <row r="145" spans="1:12">
      <c r="A145" t="s">
        <v>225</v>
      </c>
      <c r="B145" t="s">
        <v>207</v>
      </c>
      <c r="C145" t="s">
        <v>207</v>
      </c>
      <c r="D145" t="s">
        <v>208</v>
      </c>
      <c r="E145" s="3">
        <v>45809</v>
      </c>
      <c r="F145">
        <v>39</v>
      </c>
      <c r="G145">
        <v>34</v>
      </c>
      <c r="H145" t="s">
        <v>71</v>
      </c>
      <c r="I145" t="s">
        <v>68</v>
      </c>
      <c r="J145">
        <v>2025</v>
      </c>
      <c r="K145">
        <v>6</v>
      </c>
      <c r="L145" s="3">
        <v>45809</v>
      </c>
    </row>
    <row r="146" spans="1:12">
      <c r="A146" t="s">
        <v>226</v>
      </c>
      <c r="B146" t="s">
        <v>40</v>
      </c>
      <c r="C146" t="s">
        <v>40</v>
      </c>
      <c r="D146" t="s">
        <v>227</v>
      </c>
      <c r="E146" s="3">
        <v>45292</v>
      </c>
      <c r="F146">
        <v>251</v>
      </c>
      <c r="G146">
        <v>247</v>
      </c>
      <c r="H146" t="s">
        <v>73</v>
      </c>
      <c r="I146" t="s">
        <v>68</v>
      </c>
      <c r="J146">
        <v>2024</v>
      </c>
      <c r="K146">
        <v>1</v>
      </c>
      <c r="L146" s="3">
        <v>45292</v>
      </c>
    </row>
    <row r="147" spans="1:12">
      <c r="A147" t="s">
        <v>228</v>
      </c>
      <c r="B147" t="s">
        <v>40</v>
      </c>
      <c r="C147" t="s">
        <v>40</v>
      </c>
      <c r="D147" t="s">
        <v>227</v>
      </c>
      <c r="E147" s="3">
        <v>45323</v>
      </c>
      <c r="F147">
        <v>301</v>
      </c>
      <c r="G147">
        <v>302</v>
      </c>
      <c r="H147" t="s">
        <v>67</v>
      </c>
      <c r="I147" t="s">
        <v>68</v>
      </c>
      <c r="J147">
        <v>2024</v>
      </c>
      <c r="K147">
        <v>2</v>
      </c>
      <c r="L147" s="3">
        <v>45323</v>
      </c>
    </row>
    <row r="148" spans="1:12">
      <c r="A148" t="s">
        <v>229</v>
      </c>
      <c r="B148" t="s">
        <v>40</v>
      </c>
      <c r="C148" t="s">
        <v>40</v>
      </c>
      <c r="D148" t="s">
        <v>227</v>
      </c>
      <c r="E148" s="3">
        <v>45352</v>
      </c>
      <c r="F148">
        <v>241</v>
      </c>
      <c r="G148">
        <v>242</v>
      </c>
      <c r="H148" t="s">
        <v>67</v>
      </c>
      <c r="I148" t="s">
        <v>68</v>
      </c>
      <c r="J148">
        <v>2024</v>
      </c>
      <c r="K148">
        <v>3</v>
      </c>
      <c r="L148" s="3">
        <v>45352</v>
      </c>
    </row>
    <row r="149" spans="1:12">
      <c r="A149" t="s">
        <v>230</v>
      </c>
      <c r="B149" t="s">
        <v>40</v>
      </c>
      <c r="C149" t="s">
        <v>40</v>
      </c>
      <c r="D149" t="s">
        <v>227</v>
      </c>
      <c r="E149" s="3">
        <v>45383</v>
      </c>
      <c r="F149">
        <v>206</v>
      </c>
      <c r="G149">
        <v>203</v>
      </c>
      <c r="H149" t="s">
        <v>71</v>
      </c>
      <c r="I149" t="s">
        <v>68</v>
      </c>
      <c r="J149">
        <v>2024</v>
      </c>
      <c r="K149">
        <v>4</v>
      </c>
      <c r="L149" s="3">
        <v>45383</v>
      </c>
    </row>
    <row r="150" spans="1:12">
      <c r="A150" t="s">
        <v>231</v>
      </c>
      <c r="B150" t="s">
        <v>40</v>
      </c>
      <c r="C150" t="s">
        <v>40</v>
      </c>
      <c r="D150" t="s">
        <v>227</v>
      </c>
      <c r="E150" s="3">
        <v>45413</v>
      </c>
      <c r="F150">
        <v>319</v>
      </c>
      <c r="G150">
        <v>315</v>
      </c>
      <c r="H150" t="s">
        <v>73</v>
      </c>
      <c r="I150" t="s">
        <v>68</v>
      </c>
      <c r="J150">
        <v>2024</v>
      </c>
      <c r="K150">
        <v>5</v>
      </c>
      <c r="L150" s="3">
        <v>45413</v>
      </c>
    </row>
    <row r="151" spans="1:12">
      <c r="A151" t="s">
        <v>232</v>
      </c>
      <c r="B151" t="s">
        <v>40</v>
      </c>
      <c r="C151" t="s">
        <v>40</v>
      </c>
      <c r="D151" t="s">
        <v>227</v>
      </c>
      <c r="E151" s="3">
        <v>45444</v>
      </c>
      <c r="F151">
        <v>194</v>
      </c>
      <c r="G151">
        <v>192</v>
      </c>
      <c r="H151" t="s">
        <v>67</v>
      </c>
      <c r="I151" t="s">
        <v>68</v>
      </c>
      <c r="J151">
        <v>2024</v>
      </c>
      <c r="K151">
        <v>6</v>
      </c>
      <c r="L151" s="3">
        <v>45444</v>
      </c>
    </row>
    <row r="152" spans="1:12">
      <c r="A152" t="s">
        <v>233</v>
      </c>
      <c r="B152" t="s">
        <v>40</v>
      </c>
      <c r="C152" t="s">
        <v>40</v>
      </c>
      <c r="D152" t="s">
        <v>227</v>
      </c>
      <c r="E152" s="3">
        <v>45474</v>
      </c>
      <c r="F152">
        <v>273</v>
      </c>
      <c r="G152">
        <v>275</v>
      </c>
      <c r="H152" t="s">
        <v>71</v>
      </c>
      <c r="I152" t="s">
        <v>68</v>
      </c>
      <c r="J152">
        <v>2024</v>
      </c>
      <c r="K152">
        <v>7</v>
      </c>
      <c r="L152" s="3">
        <v>45474</v>
      </c>
    </row>
    <row r="153" spans="1:12">
      <c r="A153" t="s">
        <v>234</v>
      </c>
      <c r="B153" t="s">
        <v>40</v>
      </c>
      <c r="C153" t="s">
        <v>40</v>
      </c>
      <c r="D153" t="s">
        <v>227</v>
      </c>
      <c r="E153" s="3">
        <v>45505</v>
      </c>
      <c r="F153">
        <v>184</v>
      </c>
      <c r="G153">
        <v>187</v>
      </c>
      <c r="H153" t="s">
        <v>67</v>
      </c>
      <c r="I153" t="s">
        <v>68</v>
      </c>
      <c r="J153">
        <v>2024</v>
      </c>
      <c r="K153">
        <v>8</v>
      </c>
      <c r="L153" s="3">
        <v>45505</v>
      </c>
    </row>
    <row r="154" spans="1:12">
      <c r="A154" t="s">
        <v>235</v>
      </c>
      <c r="B154" t="s">
        <v>40</v>
      </c>
      <c r="C154" t="s">
        <v>40</v>
      </c>
      <c r="D154" t="s">
        <v>227</v>
      </c>
      <c r="E154" s="3">
        <v>45536</v>
      </c>
      <c r="F154">
        <v>269</v>
      </c>
      <c r="G154">
        <v>266</v>
      </c>
      <c r="H154" t="s">
        <v>73</v>
      </c>
      <c r="I154" t="s">
        <v>68</v>
      </c>
      <c r="J154">
        <v>2024</v>
      </c>
      <c r="K154">
        <v>9</v>
      </c>
      <c r="L154" s="3">
        <v>45536</v>
      </c>
    </row>
    <row r="155" spans="1:12">
      <c r="A155" t="s">
        <v>236</v>
      </c>
      <c r="B155" t="s">
        <v>40</v>
      </c>
      <c r="C155" t="s">
        <v>40</v>
      </c>
      <c r="D155" t="s">
        <v>227</v>
      </c>
      <c r="E155" s="3">
        <v>45566</v>
      </c>
      <c r="F155">
        <v>238</v>
      </c>
      <c r="G155">
        <v>243</v>
      </c>
      <c r="H155" t="s">
        <v>78</v>
      </c>
      <c r="I155" t="s">
        <v>68</v>
      </c>
      <c r="J155">
        <v>2024</v>
      </c>
      <c r="K155">
        <v>10</v>
      </c>
      <c r="L155" s="3">
        <v>45566</v>
      </c>
    </row>
    <row r="156" spans="1:12">
      <c r="A156" t="s">
        <v>237</v>
      </c>
      <c r="B156" t="s">
        <v>40</v>
      </c>
      <c r="C156" t="s">
        <v>40</v>
      </c>
      <c r="D156" t="s">
        <v>227</v>
      </c>
      <c r="E156" s="3">
        <v>45597</v>
      </c>
      <c r="F156">
        <v>340</v>
      </c>
      <c r="G156">
        <v>344</v>
      </c>
      <c r="H156" t="s">
        <v>73</v>
      </c>
      <c r="I156" t="s">
        <v>68</v>
      </c>
      <c r="J156">
        <v>2024</v>
      </c>
      <c r="K156">
        <v>11</v>
      </c>
      <c r="L156" s="3">
        <v>45597</v>
      </c>
    </row>
    <row r="157" spans="1:12">
      <c r="A157" t="s">
        <v>238</v>
      </c>
      <c r="B157" t="s">
        <v>40</v>
      </c>
      <c r="C157" t="s">
        <v>40</v>
      </c>
      <c r="D157" t="s">
        <v>227</v>
      </c>
      <c r="E157" s="3">
        <v>45627</v>
      </c>
      <c r="F157">
        <v>220</v>
      </c>
      <c r="G157">
        <v>223</v>
      </c>
      <c r="H157" t="s">
        <v>73</v>
      </c>
      <c r="I157" t="s">
        <v>68</v>
      </c>
      <c r="J157">
        <v>2024</v>
      </c>
      <c r="K157">
        <v>12</v>
      </c>
      <c r="L157" s="3">
        <v>45627</v>
      </c>
    </row>
    <row r="158" spans="1:12">
      <c r="A158" t="s">
        <v>239</v>
      </c>
      <c r="B158" t="s">
        <v>40</v>
      </c>
      <c r="C158" t="s">
        <v>40</v>
      </c>
      <c r="D158" t="s">
        <v>227</v>
      </c>
      <c r="E158" s="3">
        <v>45658</v>
      </c>
      <c r="F158">
        <v>309</v>
      </c>
      <c r="G158">
        <v>311</v>
      </c>
      <c r="H158" t="s">
        <v>73</v>
      </c>
      <c r="I158" t="s">
        <v>68</v>
      </c>
      <c r="J158">
        <v>2025</v>
      </c>
      <c r="K158">
        <v>1</v>
      </c>
      <c r="L158" s="3">
        <v>45658</v>
      </c>
    </row>
    <row r="159" spans="1:12">
      <c r="A159" t="s">
        <v>240</v>
      </c>
      <c r="B159" t="s">
        <v>40</v>
      </c>
      <c r="C159" t="s">
        <v>40</v>
      </c>
      <c r="D159" t="s">
        <v>227</v>
      </c>
      <c r="E159" s="3">
        <v>45689</v>
      </c>
      <c r="F159">
        <v>205</v>
      </c>
      <c r="G159">
        <v>204</v>
      </c>
      <c r="H159" t="s">
        <v>67</v>
      </c>
      <c r="I159" t="s">
        <v>68</v>
      </c>
      <c r="J159">
        <v>2025</v>
      </c>
      <c r="K159">
        <v>2</v>
      </c>
      <c r="L159" s="3">
        <v>45689</v>
      </c>
    </row>
    <row r="160" spans="1:12">
      <c r="A160" t="s">
        <v>241</v>
      </c>
      <c r="B160" t="s">
        <v>40</v>
      </c>
      <c r="C160" t="s">
        <v>40</v>
      </c>
      <c r="D160" t="s">
        <v>227</v>
      </c>
      <c r="E160" s="3">
        <v>45717</v>
      </c>
      <c r="F160">
        <v>269</v>
      </c>
      <c r="G160">
        <v>272</v>
      </c>
      <c r="H160" t="s">
        <v>73</v>
      </c>
      <c r="I160" t="s">
        <v>68</v>
      </c>
      <c r="J160">
        <v>2025</v>
      </c>
      <c r="K160">
        <v>3</v>
      </c>
      <c r="L160" s="3">
        <v>45717</v>
      </c>
    </row>
    <row r="161" spans="1:12">
      <c r="A161" t="s">
        <v>242</v>
      </c>
      <c r="B161" t="s">
        <v>40</v>
      </c>
      <c r="C161" t="s">
        <v>40</v>
      </c>
      <c r="D161" t="s">
        <v>227</v>
      </c>
      <c r="E161" s="3">
        <v>45748</v>
      </c>
      <c r="F161">
        <v>219</v>
      </c>
      <c r="G161">
        <v>224</v>
      </c>
      <c r="H161" t="s">
        <v>67</v>
      </c>
      <c r="I161" t="s">
        <v>68</v>
      </c>
      <c r="J161">
        <v>2025</v>
      </c>
      <c r="K161">
        <v>4</v>
      </c>
      <c r="L161" s="3">
        <v>45748</v>
      </c>
    </row>
    <row r="162" spans="1:12">
      <c r="A162" t="s">
        <v>243</v>
      </c>
      <c r="B162" t="s">
        <v>40</v>
      </c>
      <c r="C162" t="s">
        <v>40</v>
      </c>
      <c r="D162" t="s">
        <v>227</v>
      </c>
      <c r="E162" s="3">
        <v>45778</v>
      </c>
      <c r="F162">
        <v>247</v>
      </c>
      <c r="G162">
        <v>246</v>
      </c>
      <c r="H162" t="s">
        <v>67</v>
      </c>
      <c r="I162" t="s">
        <v>68</v>
      </c>
      <c r="J162">
        <v>2025</v>
      </c>
      <c r="K162">
        <v>5</v>
      </c>
      <c r="L162" s="3">
        <v>45778</v>
      </c>
    </row>
    <row r="163" spans="1:12">
      <c r="A163" t="s">
        <v>244</v>
      </c>
      <c r="B163" t="s">
        <v>40</v>
      </c>
      <c r="C163" t="s">
        <v>40</v>
      </c>
      <c r="D163" t="s">
        <v>227</v>
      </c>
      <c r="E163" s="3">
        <v>45809</v>
      </c>
      <c r="F163">
        <v>267</v>
      </c>
      <c r="G163">
        <v>266</v>
      </c>
      <c r="H163" t="s">
        <v>78</v>
      </c>
      <c r="I163" t="s">
        <v>68</v>
      </c>
      <c r="J163">
        <v>2025</v>
      </c>
      <c r="K163">
        <v>6</v>
      </c>
      <c r="L163" s="3">
        <v>45809</v>
      </c>
    </row>
    <row r="164" spans="1:12">
      <c r="A164" t="s">
        <v>245</v>
      </c>
      <c r="B164" t="s">
        <v>246</v>
      </c>
      <c r="C164" t="s">
        <v>246</v>
      </c>
      <c r="D164" t="s">
        <v>247</v>
      </c>
      <c r="E164" s="3">
        <v>45292</v>
      </c>
      <c r="F164">
        <v>0</v>
      </c>
      <c r="G164">
        <v>3</v>
      </c>
      <c r="H164" t="s">
        <v>71</v>
      </c>
      <c r="I164" t="s">
        <v>68</v>
      </c>
      <c r="J164">
        <v>2024</v>
      </c>
      <c r="K164">
        <v>1</v>
      </c>
      <c r="L164" s="3">
        <v>45292</v>
      </c>
    </row>
    <row r="165" spans="1:12">
      <c r="A165" t="s">
        <v>248</v>
      </c>
      <c r="B165" t="s">
        <v>246</v>
      </c>
      <c r="C165" t="s">
        <v>246</v>
      </c>
      <c r="D165" t="s">
        <v>247</v>
      </c>
      <c r="E165" s="3">
        <v>45323</v>
      </c>
      <c r="F165">
        <v>0</v>
      </c>
      <c r="G165">
        <v>0</v>
      </c>
      <c r="H165" t="s">
        <v>73</v>
      </c>
      <c r="I165" t="s">
        <v>68</v>
      </c>
      <c r="J165">
        <v>2024</v>
      </c>
      <c r="K165">
        <v>2</v>
      </c>
      <c r="L165" s="3">
        <v>45323</v>
      </c>
    </row>
    <row r="166" spans="1:12">
      <c r="A166" t="s">
        <v>249</v>
      </c>
      <c r="B166" t="s">
        <v>246</v>
      </c>
      <c r="C166" t="s">
        <v>246</v>
      </c>
      <c r="D166" t="s">
        <v>247</v>
      </c>
      <c r="E166" s="3">
        <v>45352</v>
      </c>
      <c r="F166">
        <v>112</v>
      </c>
      <c r="G166">
        <v>113</v>
      </c>
      <c r="H166" t="s">
        <v>78</v>
      </c>
      <c r="I166" t="s">
        <v>68</v>
      </c>
      <c r="J166">
        <v>2024</v>
      </c>
      <c r="K166">
        <v>3</v>
      </c>
      <c r="L166" s="3">
        <v>45352</v>
      </c>
    </row>
    <row r="167" spans="1:12">
      <c r="A167" t="s">
        <v>250</v>
      </c>
      <c r="B167" t="s">
        <v>246</v>
      </c>
      <c r="C167" t="s">
        <v>246</v>
      </c>
      <c r="D167" t="s">
        <v>247</v>
      </c>
      <c r="E167" s="3">
        <v>45383</v>
      </c>
      <c r="F167">
        <v>101</v>
      </c>
      <c r="G167">
        <v>102</v>
      </c>
      <c r="H167" t="s">
        <v>71</v>
      </c>
      <c r="I167" t="s">
        <v>68</v>
      </c>
      <c r="J167">
        <v>2024</v>
      </c>
      <c r="K167">
        <v>4</v>
      </c>
      <c r="L167" s="3">
        <v>45383</v>
      </c>
    </row>
    <row r="168" spans="1:12">
      <c r="A168" t="s">
        <v>251</v>
      </c>
      <c r="B168" t="s">
        <v>246</v>
      </c>
      <c r="C168" t="s">
        <v>246</v>
      </c>
      <c r="D168" t="s">
        <v>247</v>
      </c>
      <c r="E168" s="3">
        <v>45413</v>
      </c>
      <c r="F168">
        <v>0</v>
      </c>
      <c r="G168">
        <v>1</v>
      </c>
      <c r="H168" t="s">
        <v>73</v>
      </c>
      <c r="I168" t="s">
        <v>68</v>
      </c>
      <c r="J168">
        <v>2024</v>
      </c>
      <c r="K168">
        <v>5</v>
      </c>
      <c r="L168" s="3">
        <v>45413</v>
      </c>
    </row>
    <row r="169" spans="1:12">
      <c r="A169" t="s">
        <v>252</v>
      </c>
      <c r="B169" t="s">
        <v>246</v>
      </c>
      <c r="C169" t="s">
        <v>246</v>
      </c>
      <c r="D169" t="s">
        <v>247</v>
      </c>
      <c r="E169" s="3">
        <v>45444</v>
      </c>
      <c r="F169">
        <v>57</v>
      </c>
      <c r="G169">
        <v>61</v>
      </c>
      <c r="H169" t="s">
        <v>73</v>
      </c>
      <c r="I169" t="s">
        <v>68</v>
      </c>
      <c r="J169">
        <v>2024</v>
      </c>
      <c r="K169">
        <v>6</v>
      </c>
      <c r="L169" s="3">
        <v>45444</v>
      </c>
    </row>
    <row r="170" spans="1:12">
      <c r="A170" t="s">
        <v>253</v>
      </c>
      <c r="B170" t="s">
        <v>246</v>
      </c>
      <c r="C170" t="s">
        <v>246</v>
      </c>
      <c r="D170" t="s">
        <v>247</v>
      </c>
      <c r="E170" s="3">
        <v>45474</v>
      </c>
      <c r="F170">
        <v>82</v>
      </c>
      <c r="G170">
        <v>82</v>
      </c>
      <c r="H170" t="s">
        <v>78</v>
      </c>
      <c r="I170" t="s">
        <v>68</v>
      </c>
      <c r="J170">
        <v>2024</v>
      </c>
      <c r="K170">
        <v>7</v>
      </c>
      <c r="L170" s="3">
        <v>45474</v>
      </c>
    </row>
    <row r="171" spans="1:12">
      <c r="A171" t="s">
        <v>254</v>
      </c>
      <c r="B171" t="s">
        <v>246</v>
      </c>
      <c r="C171" t="s">
        <v>246</v>
      </c>
      <c r="D171" t="s">
        <v>247</v>
      </c>
      <c r="E171" s="3">
        <v>45505</v>
      </c>
      <c r="F171">
        <v>184</v>
      </c>
      <c r="G171">
        <v>185</v>
      </c>
      <c r="H171" t="s">
        <v>67</v>
      </c>
      <c r="I171" t="s">
        <v>68</v>
      </c>
      <c r="J171">
        <v>2024</v>
      </c>
      <c r="K171">
        <v>8</v>
      </c>
      <c r="L171" s="3">
        <v>45505</v>
      </c>
    </row>
    <row r="172" spans="1:12">
      <c r="A172" t="s">
        <v>255</v>
      </c>
      <c r="B172" t="s">
        <v>246</v>
      </c>
      <c r="C172" t="s">
        <v>246</v>
      </c>
      <c r="D172" t="s">
        <v>247</v>
      </c>
      <c r="E172" s="3">
        <v>45536</v>
      </c>
      <c r="F172">
        <v>28</v>
      </c>
      <c r="G172">
        <v>27</v>
      </c>
      <c r="H172" t="s">
        <v>73</v>
      </c>
      <c r="I172" t="s">
        <v>68</v>
      </c>
      <c r="J172">
        <v>2024</v>
      </c>
      <c r="K172">
        <v>9</v>
      </c>
      <c r="L172" s="3">
        <v>45536</v>
      </c>
    </row>
    <row r="173" spans="1:12">
      <c r="A173" t="s">
        <v>256</v>
      </c>
      <c r="B173" t="s">
        <v>246</v>
      </c>
      <c r="C173" t="s">
        <v>246</v>
      </c>
      <c r="D173" t="s">
        <v>247</v>
      </c>
      <c r="E173" s="3">
        <v>45566</v>
      </c>
      <c r="F173">
        <v>65</v>
      </c>
      <c r="G173">
        <v>66</v>
      </c>
      <c r="H173" t="s">
        <v>67</v>
      </c>
      <c r="I173" t="s">
        <v>68</v>
      </c>
      <c r="J173">
        <v>2024</v>
      </c>
      <c r="K173">
        <v>10</v>
      </c>
      <c r="L173" s="3">
        <v>45566</v>
      </c>
    </row>
    <row r="174" spans="1:12">
      <c r="A174" t="s">
        <v>257</v>
      </c>
      <c r="B174" t="s">
        <v>246</v>
      </c>
      <c r="C174" t="s">
        <v>246</v>
      </c>
      <c r="D174" t="s">
        <v>247</v>
      </c>
      <c r="E174" s="3">
        <v>45597</v>
      </c>
      <c r="F174">
        <v>160</v>
      </c>
      <c r="G174">
        <v>157</v>
      </c>
      <c r="H174" t="s">
        <v>71</v>
      </c>
      <c r="I174" t="s">
        <v>68</v>
      </c>
      <c r="J174">
        <v>2024</v>
      </c>
      <c r="K174">
        <v>11</v>
      </c>
      <c r="L174" s="3">
        <v>45597</v>
      </c>
    </row>
    <row r="175" spans="1:12">
      <c r="A175" t="s">
        <v>258</v>
      </c>
      <c r="B175" t="s">
        <v>246</v>
      </c>
      <c r="C175" t="s">
        <v>246</v>
      </c>
      <c r="D175" t="s">
        <v>247</v>
      </c>
      <c r="E175" s="3">
        <v>45627</v>
      </c>
      <c r="F175">
        <v>61</v>
      </c>
      <c r="G175">
        <v>57</v>
      </c>
      <c r="H175" t="s">
        <v>73</v>
      </c>
      <c r="I175" t="s">
        <v>68</v>
      </c>
      <c r="J175">
        <v>2024</v>
      </c>
      <c r="K175">
        <v>12</v>
      </c>
      <c r="L175" s="3">
        <v>45627</v>
      </c>
    </row>
    <row r="176" spans="1:12">
      <c r="A176" t="s">
        <v>259</v>
      </c>
      <c r="B176" t="s">
        <v>246</v>
      </c>
      <c r="C176" t="s">
        <v>246</v>
      </c>
      <c r="D176" t="s">
        <v>247</v>
      </c>
      <c r="E176" s="3">
        <v>45658</v>
      </c>
      <c r="F176">
        <v>0</v>
      </c>
      <c r="G176">
        <v>2</v>
      </c>
      <c r="H176" t="s">
        <v>67</v>
      </c>
      <c r="I176" t="s">
        <v>68</v>
      </c>
      <c r="J176">
        <v>2025</v>
      </c>
      <c r="K176">
        <v>1</v>
      </c>
      <c r="L176" s="3">
        <v>45658</v>
      </c>
    </row>
    <row r="177" spans="1:12">
      <c r="A177" t="s">
        <v>260</v>
      </c>
      <c r="B177" t="s">
        <v>246</v>
      </c>
      <c r="C177" t="s">
        <v>246</v>
      </c>
      <c r="D177" t="s">
        <v>247</v>
      </c>
      <c r="E177" s="3">
        <v>45689</v>
      </c>
      <c r="F177">
        <v>0</v>
      </c>
      <c r="G177">
        <v>1</v>
      </c>
      <c r="H177" t="s">
        <v>78</v>
      </c>
      <c r="I177" t="s">
        <v>68</v>
      </c>
      <c r="J177">
        <v>2025</v>
      </c>
      <c r="K177">
        <v>2</v>
      </c>
      <c r="L177" s="3">
        <v>45689</v>
      </c>
    </row>
    <row r="178" spans="1:12">
      <c r="A178" t="s">
        <v>261</v>
      </c>
      <c r="B178" t="s">
        <v>246</v>
      </c>
      <c r="C178" t="s">
        <v>246</v>
      </c>
      <c r="D178" t="s">
        <v>247</v>
      </c>
      <c r="E178" s="3">
        <v>45717</v>
      </c>
      <c r="F178">
        <v>0</v>
      </c>
      <c r="G178">
        <v>0</v>
      </c>
      <c r="H178" t="s">
        <v>78</v>
      </c>
      <c r="I178" t="s">
        <v>68</v>
      </c>
      <c r="J178">
        <v>2025</v>
      </c>
      <c r="K178">
        <v>3</v>
      </c>
      <c r="L178" s="3">
        <v>45717</v>
      </c>
    </row>
    <row r="179" spans="1:12">
      <c r="A179" t="s">
        <v>262</v>
      </c>
      <c r="B179" t="s">
        <v>246</v>
      </c>
      <c r="C179" t="s">
        <v>246</v>
      </c>
      <c r="D179" t="s">
        <v>247</v>
      </c>
      <c r="E179" s="3">
        <v>45748</v>
      </c>
      <c r="F179">
        <v>80</v>
      </c>
      <c r="G179">
        <v>81</v>
      </c>
      <c r="H179" t="s">
        <v>78</v>
      </c>
      <c r="I179" t="s">
        <v>68</v>
      </c>
      <c r="J179">
        <v>2025</v>
      </c>
      <c r="K179">
        <v>4</v>
      </c>
      <c r="L179" s="3">
        <v>45748</v>
      </c>
    </row>
    <row r="180" spans="1:12">
      <c r="A180" t="s">
        <v>263</v>
      </c>
      <c r="B180" t="s">
        <v>246</v>
      </c>
      <c r="C180" t="s">
        <v>246</v>
      </c>
      <c r="D180" t="s">
        <v>247</v>
      </c>
      <c r="E180" s="3">
        <v>45778</v>
      </c>
      <c r="F180">
        <v>133</v>
      </c>
      <c r="G180">
        <v>129</v>
      </c>
      <c r="H180" t="s">
        <v>73</v>
      </c>
      <c r="I180" t="s">
        <v>68</v>
      </c>
      <c r="J180">
        <v>2025</v>
      </c>
      <c r="K180">
        <v>5</v>
      </c>
      <c r="L180" s="3">
        <v>45778</v>
      </c>
    </row>
    <row r="181" spans="1:12">
      <c r="A181" t="s">
        <v>264</v>
      </c>
      <c r="B181" t="s">
        <v>246</v>
      </c>
      <c r="C181" t="s">
        <v>246</v>
      </c>
      <c r="D181" t="s">
        <v>247</v>
      </c>
      <c r="E181" s="3">
        <v>45809</v>
      </c>
      <c r="F181">
        <v>0</v>
      </c>
      <c r="G181">
        <v>3</v>
      </c>
      <c r="H181" t="s">
        <v>71</v>
      </c>
      <c r="I181" t="s">
        <v>68</v>
      </c>
      <c r="J181">
        <v>2025</v>
      </c>
      <c r="K181">
        <v>6</v>
      </c>
      <c r="L181" s="3">
        <v>45809</v>
      </c>
    </row>
    <row r="182" spans="1:12">
      <c r="A182" t="s">
        <v>265</v>
      </c>
      <c r="B182" t="s">
        <v>266</v>
      </c>
      <c r="C182" t="s">
        <v>266</v>
      </c>
      <c r="D182" t="s">
        <v>267</v>
      </c>
      <c r="E182" s="3">
        <v>45292</v>
      </c>
      <c r="F182">
        <v>22</v>
      </c>
      <c r="G182">
        <v>22</v>
      </c>
      <c r="H182" t="s">
        <v>67</v>
      </c>
      <c r="I182" t="s">
        <v>68</v>
      </c>
      <c r="J182">
        <v>2024</v>
      </c>
      <c r="K182">
        <v>1</v>
      </c>
      <c r="L182" s="3">
        <v>45292</v>
      </c>
    </row>
    <row r="183" spans="1:12">
      <c r="A183" t="s">
        <v>268</v>
      </c>
      <c r="B183" t="s">
        <v>266</v>
      </c>
      <c r="C183" t="s">
        <v>266</v>
      </c>
      <c r="D183" t="s">
        <v>267</v>
      </c>
      <c r="E183" s="3">
        <v>45323</v>
      </c>
      <c r="F183">
        <v>13</v>
      </c>
      <c r="G183">
        <v>8</v>
      </c>
      <c r="H183" t="s">
        <v>67</v>
      </c>
      <c r="I183" t="s">
        <v>68</v>
      </c>
      <c r="J183">
        <v>2024</v>
      </c>
      <c r="K183">
        <v>2</v>
      </c>
      <c r="L183" s="3">
        <v>45323</v>
      </c>
    </row>
    <row r="184" spans="1:12">
      <c r="A184" t="s">
        <v>269</v>
      </c>
      <c r="B184" t="s">
        <v>266</v>
      </c>
      <c r="C184" t="s">
        <v>266</v>
      </c>
      <c r="D184" t="s">
        <v>267</v>
      </c>
      <c r="E184" s="3">
        <v>45352</v>
      </c>
      <c r="F184">
        <v>3</v>
      </c>
      <c r="G184">
        <v>0</v>
      </c>
      <c r="H184" t="s">
        <v>67</v>
      </c>
      <c r="I184" t="s">
        <v>68</v>
      </c>
      <c r="J184">
        <v>2024</v>
      </c>
      <c r="K184">
        <v>3</v>
      </c>
      <c r="L184" s="3">
        <v>45352</v>
      </c>
    </row>
    <row r="185" spans="1:12">
      <c r="A185" t="s">
        <v>270</v>
      </c>
      <c r="B185" t="s">
        <v>266</v>
      </c>
      <c r="C185" t="s">
        <v>266</v>
      </c>
      <c r="D185" t="s">
        <v>267</v>
      </c>
      <c r="E185" s="3">
        <v>45383</v>
      </c>
      <c r="F185">
        <v>84</v>
      </c>
      <c r="G185">
        <v>86</v>
      </c>
      <c r="H185" t="s">
        <v>78</v>
      </c>
      <c r="I185" t="s">
        <v>68</v>
      </c>
      <c r="J185">
        <v>2024</v>
      </c>
      <c r="K185">
        <v>4</v>
      </c>
      <c r="L185" s="3">
        <v>45383</v>
      </c>
    </row>
    <row r="186" spans="1:12">
      <c r="A186" t="s">
        <v>271</v>
      </c>
      <c r="B186" t="s">
        <v>266</v>
      </c>
      <c r="C186" t="s">
        <v>266</v>
      </c>
      <c r="D186" t="s">
        <v>267</v>
      </c>
      <c r="E186" s="3">
        <v>45413</v>
      </c>
      <c r="F186">
        <v>69</v>
      </c>
      <c r="G186">
        <v>66</v>
      </c>
      <c r="H186" t="s">
        <v>71</v>
      </c>
      <c r="I186" t="s">
        <v>68</v>
      </c>
      <c r="J186">
        <v>2024</v>
      </c>
      <c r="K186">
        <v>5</v>
      </c>
      <c r="L186" s="3">
        <v>45413</v>
      </c>
    </row>
    <row r="187" spans="1:12">
      <c r="A187" t="s">
        <v>272</v>
      </c>
      <c r="B187" t="s">
        <v>266</v>
      </c>
      <c r="C187" t="s">
        <v>266</v>
      </c>
      <c r="D187" t="s">
        <v>267</v>
      </c>
      <c r="E187" s="3">
        <v>45444</v>
      </c>
      <c r="F187">
        <v>42</v>
      </c>
      <c r="G187">
        <v>46</v>
      </c>
      <c r="H187" t="s">
        <v>71</v>
      </c>
      <c r="I187" t="s">
        <v>68</v>
      </c>
      <c r="J187">
        <v>2024</v>
      </c>
      <c r="K187">
        <v>6</v>
      </c>
      <c r="L187" s="3">
        <v>45444</v>
      </c>
    </row>
    <row r="188" spans="1:12">
      <c r="A188" t="s">
        <v>273</v>
      </c>
      <c r="B188" t="s">
        <v>266</v>
      </c>
      <c r="C188" t="s">
        <v>266</v>
      </c>
      <c r="D188" t="s">
        <v>267</v>
      </c>
      <c r="E188" s="3">
        <v>45474</v>
      </c>
      <c r="F188">
        <v>24</v>
      </c>
      <c r="G188">
        <v>28</v>
      </c>
      <c r="H188" t="s">
        <v>73</v>
      </c>
      <c r="I188" t="s">
        <v>68</v>
      </c>
      <c r="J188">
        <v>2024</v>
      </c>
      <c r="K188">
        <v>7</v>
      </c>
      <c r="L188" s="3">
        <v>45474</v>
      </c>
    </row>
    <row r="189" spans="1:12">
      <c r="A189" t="s">
        <v>274</v>
      </c>
      <c r="B189" t="s">
        <v>266</v>
      </c>
      <c r="C189" t="s">
        <v>266</v>
      </c>
      <c r="D189" t="s">
        <v>267</v>
      </c>
      <c r="E189" s="3">
        <v>45505</v>
      </c>
      <c r="F189">
        <v>14</v>
      </c>
      <c r="G189">
        <v>10</v>
      </c>
      <c r="H189" t="s">
        <v>78</v>
      </c>
      <c r="I189" t="s">
        <v>68</v>
      </c>
      <c r="J189">
        <v>2024</v>
      </c>
      <c r="K189">
        <v>8</v>
      </c>
      <c r="L189" s="3">
        <v>45505</v>
      </c>
    </row>
    <row r="190" spans="1:12">
      <c r="A190" t="s">
        <v>275</v>
      </c>
      <c r="B190" t="s">
        <v>266</v>
      </c>
      <c r="C190" t="s">
        <v>266</v>
      </c>
      <c r="D190" t="s">
        <v>267</v>
      </c>
      <c r="E190" s="3">
        <v>45536</v>
      </c>
      <c r="F190">
        <v>64</v>
      </c>
      <c r="G190">
        <v>68</v>
      </c>
      <c r="H190" t="s">
        <v>71</v>
      </c>
      <c r="I190" t="s">
        <v>68</v>
      </c>
      <c r="J190">
        <v>2024</v>
      </c>
      <c r="K190">
        <v>9</v>
      </c>
      <c r="L190" s="3">
        <v>45536</v>
      </c>
    </row>
    <row r="191" spans="1:12">
      <c r="A191" t="s">
        <v>276</v>
      </c>
      <c r="B191" t="s">
        <v>266</v>
      </c>
      <c r="C191" t="s">
        <v>266</v>
      </c>
      <c r="D191" t="s">
        <v>267</v>
      </c>
      <c r="E191" s="3">
        <v>45566</v>
      </c>
      <c r="F191">
        <v>147</v>
      </c>
      <c r="G191">
        <v>152</v>
      </c>
      <c r="H191" t="s">
        <v>78</v>
      </c>
      <c r="I191" t="s">
        <v>68</v>
      </c>
      <c r="J191">
        <v>2024</v>
      </c>
      <c r="K191">
        <v>10</v>
      </c>
      <c r="L191" s="3">
        <v>45566</v>
      </c>
    </row>
    <row r="192" spans="1:12">
      <c r="A192" t="s">
        <v>277</v>
      </c>
      <c r="B192" t="s">
        <v>266</v>
      </c>
      <c r="C192" t="s">
        <v>266</v>
      </c>
      <c r="D192" t="s">
        <v>267</v>
      </c>
      <c r="E192" s="3">
        <v>45597</v>
      </c>
      <c r="F192">
        <v>21</v>
      </c>
      <c r="G192">
        <v>16</v>
      </c>
      <c r="H192" t="s">
        <v>73</v>
      </c>
      <c r="I192" t="s">
        <v>68</v>
      </c>
      <c r="J192">
        <v>2024</v>
      </c>
      <c r="K192">
        <v>11</v>
      </c>
      <c r="L192" s="3">
        <v>45597</v>
      </c>
    </row>
    <row r="193" spans="1:12">
      <c r="A193" t="s">
        <v>278</v>
      </c>
      <c r="B193" t="s">
        <v>266</v>
      </c>
      <c r="C193" t="s">
        <v>266</v>
      </c>
      <c r="D193" t="s">
        <v>267</v>
      </c>
      <c r="E193" s="3">
        <v>45627</v>
      </c>
      <c r="F193">
        <v>45</v>
      </c>
      <c r="G193">
        <v>50</v>
      </c>
      <c r="H193" t="s">
        <v>73</v>
      </c>
      <c r="I193" t="s">
        <v>68</v>
      </c>
      <c r="J193">
        <v>2024</v>
      </c>
      <c r="K193">
        <v>12</v>
      </c>
      <c r="L193" s="3">
        <v>45627</v>
      </c>
    </row>
    <row r="194" spans="1:12">
      <c r="A194" t="s">
        <v>279</v>
      </c>
      <c r="B194" t="s">
        <v>266</v>
      </c>
      <c r="C194" t="s">
        <v>266</v>
      </c>
      <c r="D194" t="s">
        <v>267</v>
      </c>
      <c r="E194" s="3">
        <v>45658</v>
      </c>
      <c r="F194">
        <v>28</v>
      </c>
      <c r="G194">
        <v>29</v>
      </c>
      <c r="H194" t="s">
        <v>67</v>
      </c>
      <c r="I194" t="s">
        <v>68</v>
      </c>
      <c r="J194">
        <v>2025</v>
      </c>
      <c r="K194">
        <v>1</v>
      </c>
      <c r="L194" s="3">
        <v>45658</v>
      </c>
    </row>
    <row r="195" spans="1:12">
      <c r="A195" t="s">
        <v>280</v>
      </c>
      <c r="B195" t="s">
        <v>266</v>
      </c>
      <c r="C195" t="s">
        <v>266</v>
      </c>
      <c r="D195" t="s">
        <v>267</v>
      </c>
      <c r="E195" s="3">
        <v>45689</v>
      </c>
      <c r="F195">
        <v>33</v>
      </c>
      <c r="G195">
        <v>36</v>
      </c>
      <c r="H195" t="s">
        <v>73</v>
      </c>
      <c r="I195" t="s">
        <v>68</v>
      </c>
      <c r="J195">
        <v>2025</v>
      </c>
      <c r="K195">
        <v>2</v>
      </c>
      <c r="L195" s="3">
        <v>45689</v>
      </c>
    </row>
    <row r="196" spans="1:12">
      <c r="A196" t="s">
        <v>281</v>
      </c>
      <c r="B196" t="s">
        <v>266</v>
      </c>
      <c r="C196" t="s">
        <v>266</v>
      </c>
      <c r="D196" t="s">
        <v>267</v>
      </c>
      <c r="E196" s="3">
        <v>45717</v>
      </c>
      <c r="F196">
        <v>0</v>
      </c>
      <c r="G196">
        <v>4</v>
      </c>
      <c r="H196" t="s">
        <v>78</v>
      </c>
      <c r="I196" t="s">
        <v>68</v>
      </c>
      <c r="J196">
        <v>2025</v>
      </c>
      <c r="K196">
        <v>3</v>
      </c>
      <c r="L196" s="3">
        <v>45717</v>
      </c>
    </row>
    <row r="197" spans="1:12">
      <c r="A197" t="s">
        <v>282</v>
      </c>
      <c r="B197" t="s">
        <v>266</v>
      </c>
      <c r="C197" t="s">
        <v>266</v>
      </c>
      <c r="D197" t="s">
        <v>267</v>
      </c>
      <c r="E197" s="3">
        <v>45748</v>
      </c>
      <c r="F197">
        <v>31</v>
      </c>
      <c r="G197">
        <v>30</v>
      </c>
      <c r="H197" t="s">
        <v>73</v>
      </c>
      <c r="I197" t="s">
        <v>68</v>
      </c>
      <c r="J197">
        <v>2025</v>
      </c>
      <c r="K197">
        <v>4</v>
      </c>
      <c r="L197" s="3">
        <v>45748</v>
      </c>
    </row>
    <row r="198" spans="1:12">
      <c r="A198" t="s">
        <v>283</v>
      </c>
      <c r="B198" t="s">
        <v>266</v>
      </c>
      <c r="C198" t="s">
        <v>266</v>
      </c>
      <c r="D198" t="s">
        <v>267</v>
      </c>
      <c r="E198" s="3">
        <v>45778</v>
      </c>
      <c r="F198">
        <v>57</v>
      </c>
      <c r="G198">
        <v>59</v>
      </c>
      <c r="H198" t="s">
        <v>73</v>
      </c>
      <c r="I198" t="s">
        <v>68</v>
      </c>
      <c r="J198">
        <v>2025</v>
      </c>
      <c r="K198">
        <v>5</v>
      </c>
      <c r="L198" s="3">
        <v>45778</v>
      </c>
    </row>
    <row r="199" spans="1:12">
      <c r="A199" t="s">
        <v>284</v>
      </c>
      <c r="B199" t="s">
        <v>266</v>
      </c>
      <c r="C199" t="s">
        <v>266</v>
      </c>
      <c r="D199" t="s">
        <v>267</v>
      </c>
      <c r="E199" s="3">
        <v>45809</v>
      </c>
      <c r="F199">
        <v>24</v>
      </c>
      <c r="G199">
        <v>26</v>
      </c>
      <c r="H199" t="s">
        <v>67</v>
      </c>
      <c r="I199" t="s">
        <v>68</v>
      </c>
      <c r="J199">
        <v>2025</v>
      </c>
      <c r="K199">
        <v>6</v>
      </c>
      <c r="L199" s="3">
        <v>45809</v>
      </c>
    </row>
    <row r="200" spans="1:12">
      <c r="A200" t="s">
        <v>285</v>
      </c>
      <c r="B200" t="s">
        <v>286</v>
      </c>
      <c r="C200" t="s">
        <v>286</v>
      </c>
      <c r="D200" t="s">
        <v>287</v>
      </c>
      <c r="E200" s="3">
        <v>45292</v>
      </c>
      <c r="F200">
        <v>24</v>
      </c>
      <c r="G200">
        <v>24</v>
      </c>
      <c r="H200" t="s">
        <v>78</v>
      </c>
      <c r="I200" t="s">
        <v>68</v>
      </c>
      <c r="J200">
        <v>2024</v>
      </c>
      <c r="K200">
        <v>1</v>
      </c>
      <c r="L200" s="3">
        <v>45292</v>
      </c>
    </row>
    <row r="201" spans="1:12">
      <c r="A201" t="s">
        <v>288</v>
      </c>
      <c r="B201" t="s">
        <v>286</v>
      </c>
      <c r="C201" t="s">
        <v>286</v>
      </c>
      <c r="D201" t="s">
        <v>287</v>
      </c>
      <c r="E201" s="3">
        <v>45323</v>
      </c>
      <c r="F201">
        <v>17</v>
      </c>
      <c r="G201">
        <v>16</v>
      </c>
      <c r="H201" t="s">
        <v>71</v>
      </c>
      <c r="I201" t="s">
        <v>68</v>
      </c>
      <c r="J201">
        <v>2024</v>
      </c>
      <c r="K201">
        <v>2</v>
      </c>
      <c r="L201" s="3">
        <v>45323</v>
      </c>
    </row>
    <row r="202" spans="1:12">
      <c r="A202" t="s">
        <v>289</v>
      </c>
      <c r="B202" t="s">
        <v>286</v>
      </c>
      <c r="C202" t="s">
        <v>286</v>
      </c>
      <c r="D202" t="s">
        <v>287</v>
      </c>
      <c r="E202" s="3">
        <v>45352</v>
      </c>
      <c r="F202">
        <v>26</v>
      </c>
      <c r="G202">
        <v>29</v>
      </c>
      <c r="H202" t="s">
        <v>67</v>
      </c>
      <c r="I202" t="s">
        <v>68</v>
      </c>
      <c r="J202">
        <v>2024</v>
      </c>
      <c r="K202">
        <v>3</v>
      </c>
      <c r="L202" s="3">
        <v>45352</v>
      </c>
    </row>
    <row r="203" spans="1:12">
      <c r="A203" t="s">
        <v>290</v>
      </c>
      <c r="B203" t="s">
        <v>286</v>
      </c>
      <c r="C203" t="s">
        <v>286</v>
      </c>
      <c r="D203" t="s">
        <v>287</v>
      </c>
      <c r="E203" s="3">
        <v>45383</v>
      </c>
      <c r="F203">
        <v>24</v>
      </c>
      <c r="G203">
        <v>26</v>
      </c>
      <c r="H203" t="s">
        <v>67</v>
      </c>
      <c r="I203" t="s">
        <v>68</v>
      </c>
      <c r="J203">
        <v>2024</v>
      </c>
      <c r="K203">
        <v>4</v>
      </c>
      <c r="L203" s="3">
        <v>45383</v>
      </c>
    </row>
    <row r="204" spans="1:12">
      <c r="A204" t="s">
        <v>291</v>
      </c>
      <c r="B204" t="s">
        <v>286</v>
      </c>
      <c r="C204" t="s">
        <v>286</v>
      </c>
      <c r="D204" t="s">
        <v>287</v>
      </c>
      <c r="E204" s="3">
        <v>45413</v>
      </c>
      <c r="F204">
        <v>22</v>
      </c>
      <c r="G204">
        <v>24</v>
      </c>
      <c r="H204" t="s">
        <v>73</v>
      </c>
      <c r="I204" t="s">
        <v>68</v>
      </c>
      <c r="J204">
        <v>2024</v>
      </c>
      <c r="K204">
        <v>5</v>
      </c>
      <c r="L204" s="3">
        <v>45413</v>
      </c>
    </row>
    <row r="205" spans="1:12">
      <c r="A205" t="s">
        <v>292</v>
      </c>
      <c r="B205" t="s">
        <v>286</v>
      </c>
      <c r="C205" t="s">
        <v>286</v>
      </c>
      <c r="D205" t="s">
        <v>287</v>
      </c>
      <c r="E205" s="3">
        <v>45444</v>
      </c>
      <c r="F205">
        <v>18</v>
      </c>
      <c r="G205">
        <v>17</v>
      </c>
      <c r="H205" t="s">
        <v>67</v>
      </c>
      <c r="I205" t="s">
        <v>68</v>
      </c>
      <c r="J205">
        <v>2024</v>
      </c>
      <c r="K205">
        <v>6</v>
      </c>
      <c r="L205" s="3">
        <v>45444</v>
      </c>
    </row>
    <row r="206" spans="1:12">
      <c r="A206" t="s">
        <v>293</v>
      </c>
      <c r="B206" t="s">
        <v>286</v>
      </c>
      <c r="C206" t="s">
        <v>286</v>
      </c>
      <c r="D206" t="s">
        <v>287</v>
      </c>
      <c r="E206" s="3">
        <v>45474</v>
      </c>
      <c r="F206">
        <v>19</v>
      </c>
      <c r="G206">
        <v>20</v>
      </c>
      <c r="H206" t="s">
        <v>67</v>
      </c>
      <c r="I206" t="s">
        <v>68</v>
      </c>
      <c r="J206">
        <v>2024</v>
      </c>
      <c r="K206">
        <v>7</v>
      </c>
      <c r="L206" s="3">
        <v>45474</v>
      </c>
    </row>
    <row r="207" spans="1:12">
      <c r="A207" t="s">
        <v>294</v>
      </c>
      <c r="B207" t="s">
        <v>286</v>
      </c>
      <c r="C207" t="s">
        <v>286</v>
      </c>
      <c r="D207" t="s">
        <v>287</v>
      </c>
      <c r="E207" s="3">
        <v>45505</v>
      </c>
      <c r="F207">
        <v>16</v>
      </c>
      <c r="G207">
        <v>18</v>
      </c>
      <c r="H207" t="s">
        <v>78</v>
      </c>
      <c r="I207" t="s">
        <v>68</v>
      </c>
      <c r="J207">
        <v>2024</v>
      </c>
      <c r="K207">
        <v>8</v>
      </c>
      <c r="L207" s="3">
        <v>45505</v>
      </c>
    </row>
    <row r="208" spans="1:12">
      <c r="A208" t="s">
        <v>295</v>
      </c>
      <c r="B208" t="s">
        <v>286</v>
      </c>
      <c r="C208" t="s">
        <v>286</v>
      </c>
      <c r="D208" t="s">
        <v>287</v>
      </c>
      <c r="E208" s="3">
        <v>45536</v>
      </c>
      <c r="F208">
        <v>22</v>
      </c>
      <c r="G208">
        <v>23</v>
      </c>
      <c r="H208" t="s">
        <v>78</v>
      </c>
      <c r="I208" t="s">
        <v>68</v>
      </c>
      <c r="J208">
        <v>2024</v>
      </c>
      <c r="K208">
        <v>9</v>
      </c>
      <c r="L208" s="3">
        <v>45536</v>
      </c>
    </row>
    <row r="209" spans="1:12">
      <c r="A209" t="s">
        <v>296</v>
      </c>
      <c r="B209" t="s">
        <v>286</v>
      </c>
      <c r="C209" t="s">
        <v>286</v>
      </c>
      <c r="D209" t="s">
        <v>287</v>
      </c>
      <c r="E209" s="3">
        <v>45566</v>
      </c>
      <c r="F209">
        <v>15</v>
      </c>
      <c r="G209">
        <v>14</v>
      </c>
      <c r="H209" t="s">
        <v>78</v>
      </c>
      <c r="I209" t="s">
        <v>68</v>
      </c>
      <c r="J209">
        <v>2024</v>
      </c>
      <c r="K209">
        <v>10</v>
      </c>
      <c r="L209" s="3">
        <v>45566</v>
      </c>
    </row>
    <row r="210" spans="1:12">
      <c r="A210" t="s">
        <v>297</v>
      </c>
      <c r="B210" t="s">
        <v>286</v>
      </c>
      <c r="C210" t="s">
        <v>286</v>
      </c>
      <c r="D210" t="s">
        <v>287</v>
      </c>
      <c r="E210" s="3">
        <v>45597</v>
      </c>
      <c r="F210">
        <v>19</v>
      </c>
      <c r="G210">
        <v>17</v>
      </c>
      <c r="H210" t="s">
        <v>71</v>
      </c>
      <c r="I210" t="s">
        <v>68</v>
      </c>
      <c r="J210">
        <v>2024</v>
      </c>
      <c r="K210">
        <v>11</v>
      </c>
      <c r="L210" s="3">
        <v>45597</v>
      </c>
    </row>
    <row r="211" spans="1:12">
      <c r="A211" t="s">
        <v>298</v>
      </c>
      <c r="B211" t="s">
        <v>286</v>
      </c>
      <c r="C211" t="s">
        <v>286</v>
      </c>
      <c r="D211" t="s">
        <v>287</v>
      </c>
      <c r="E211" s="3">
        <v>45627</v>
      </c>
      <c r="F211">
        <v>16</v>
      </c>
      <c r="G211">
        <v>19</v>
      </c>
      <c r="H211" t="s">
        <v>67</v>
      </c>
      <c r="I211" t="s">
        <v>68</v>
      </c>
      <c r="J211">
        <v>2024</v>
      </c>
      <c r="K211">
        <v>12</v>
      </c>
      <c r="L211" s="3">
        <v>45627</v>
      </c>
    </row>
    <row r="212" spans="1:12">
      <c r="A212" t="s">
        <v>299</v>
      </c>
      <c r="B212" t="s">
        <v>286</v>
      </c>
      <c r="C212" t="s">
        <v>286</v>
      </c>
      <c r="D212" t="s">
        <v>287</v>
      </c>
      <c r="E212" s="3">
        <v>45658</v>
      </c>
      <c r="F212">
        <v>13</v>
      </c>
      <c r="G212">
        <v>11</v>
      </c>
      <c r="H212" t="s">
        <v>67</v>
      </c>
      <c r="I212" t="s">
        <v>68</v>
      </c>
      <c r="J212">
        <v>2025</v>
      </c>
      <c r="K212">
        <v>1</v>
      </c>
      <c r="L212" s="3">
        <v>45658</v>
      </c>
    </row>
    <row r="213" spans="1:12">
      <c r="A213" t="s">
        <v>300</v>
      </c>
      <c r="B213" t="s">
        <v>286</v>
      </c>
      <c r="C213" t="s">
        <v>286</v>
      </c>
      <c r="D213" t="s">
        <v>287</v>
      </c>
      <c r="E213" s="3">
        <v>45689</v>
      </c>
      <c r="F213">
        <v>15</v>
      </c>
      <c r="G213">
        <v>19</v>
      </c>
      <c r="H213" t="s">
        <v>78</v>
      </c>
      <c r="I213" t="s">
        <v>68</v>
      </c>
      <c r="J213">
        <v>2025</v>
      </c>
      <c r="K213">
        <v>2</v>
      </c>
      <c r="L213" s="3">
        <v>45689</v>
      </c>
    </row>
    <row r="214" spans="1:12">
      <c r="A214" t="s">
        <v>301</v>
      </c>
      <c r="B214" t="s">
        <v>286</v>
      </c>
      <c r="C214" t="s">
        <v>286</v>
      </c>
      <c r="D214" t="s">
        <v>287</v>
      </c>
      <c r="E214" s="3">
        <v>45717</v>
      </c>
      <c r="F214">
        <v>12</v>
      </c>
      <c r="G214">
        <v>8</v>
      </c>
      <c r="H214" t="s">
        <v>67</v>
      </c>
      <c r="I214" t="s">
        <v>68</v>
      </c>
      <c r="J214">
        <v>2025</v>
      </c>
      <c r="K214">
        <v>3</v>
      </c>
      <c r="L214" s="3">
        <v>45717</v>
      </c>
    </row>
    <row r="215" spans="1:12">
      <c r="A215" t="s">
        <v>302</v>
      </c>
      <c r="B215" t="s">
        <v>286</v>
      </c>
      <c r="C215" t="s">
        <v>286</v>
      </c>
      <c r="D215" t="s">
        <v>287</v>
      </c>
      <c r="E215" s="3">
        <v>45748</v>
      </c>
      <c r="F215">
        <v>13</v>
      </c>
      <c r="G215">
        <v>12</v>
      </c>
      <c r="H215" t="s">
        <v>71</v>
      </c>
      <c r="I215" t="s">
        <v>68</v>
      </c>
      <c r="J215">
        <v>2025</v>
      </c>
      <c r="K215">
        <v>4</v>
      </c>
      <c r="L215" s="3">
        <v>45748</v>
      </c>
    </row>
    <row r="216" spans="1:12">
      <c r="A216" t="s">
        <v>303</v>
      </c>
      <c r="B216" t="s">
        <v>286</v>
      </c>
      <c r="C216" t="s">
        <v>286</v>
      </c>
      <c r="D216" t="s">
        <v>287</v>
      </c>
      <c r="E216" s="3">
        <v>45778</v>
      </c>
      <c r="F216">
        <v>17</v>
      </c>
      <c r="G216">
        <v>20</v>
      </c>
      <c r="H216" t="s">
        <v>67</v>
      </c>
      <c r="I216" t="s">
        <v>68</v>
      </c>
      <c r="J216">
        <v>2025</v>
      </c>
      <c r="K216">
        <v>5</v>
      </c>
      <c r="L216" s="3">
        <v>45778</v>
      </c>
    </row>
    <row r="217" spans="1:12">
      <c r="A217" t="s">
        <v>304</v>
      </c>
      <c r="B217" t="s">
        <v>286</v>
      </c>
      <c r="C217" t="s">
        <v>286</v>
      </c>
      <c r="D217" t="s">
        <v>287</v>
      </c>
      <c r="E217" s="3">
        <v>45809</v>
      </c>
      <c r="F217">
        <v>12</v>
      </c>
      <c r="G217">
        <v>15</v>
      </c>
      <c r="H217" t="s">
        <v>78</v>
      </c>
      <c r="I217" t="s">
        <v>68</v>
      </c>
      <c r="J217">
        <v>2025</v>
      </c>
      <c r="K217">
        <v>6</v>
      </c>
      <c r="L217" s="3">
        <v>45809</v>
      </c>
    </row>
    <row r="218" spans="1:12">
      <c r="A218" t="s">
        <v>305</v>
      </c>
      <c r="B218" t="s">
        <v>306</v>
      </c>
      <c r="C218" t="s">
        <v>306</v>
      </c>
      <c r="D218" t="s">
        <v>307</v>
      </c>
      <c r="E218" s="3">
        <v>45292</v>
      </c>
      <c r="F218">
        <v>14</v>
      </c>
      <c r="G218">
        <v>11</v>
      </c>
      <c r="H218" t="s">
        <v>73</v>
      </c>
      <c r="I218" t="s">
        <v>68</v>
      </c>
      <c r="J218">
        <v>2024</v>
      </c>
      <c r="K218">
        <v>1</v>
      </c>
      <c r="L218" s="3">
        <v>45292</v>
      </c>
    </row>
    <row r="219" spans="1:12">
      <c r="A219" t="s">
        <v>308</v>
      </c>
      <c r="B219" t="s">
        <v>306</v>
      </c>
      <c r="C219" t="s">
        <v>306</v>
      </c>
      <c r="D219" t="s">
        <v>307</v>
      </c>
      <c r="E219" s="3">
        <v>45323</v>
      </c>
      <c r="F219">
        <v>7</v>
      </c>
      <c r="G219">
        <v>6</v>
      </c>
      <c r="H219" t="s">
        <v>73</v>
      </c>
      <c r="I219" t="s">
        <v>68</v>
      </c>
      <c r="J219">
        <v>2024</v>
      </c>
      <c r="K219">
        <v>2</v>
      </c>
      <c r="L219" s="3">
        <v>45323</v>
      </c>
    </row>
    <row r="220" spans="1:12">
      <c r="A220" t="s">
        <v>309</v>
      </c>
      <c r="B220" t="s">
        <v>306</v>
      </c>
      <c r="C220" t="s">
        <v>306</v>
      </c>
      <c r="D220" t="s">
        <v>307</v>
      </c>
      <c r="E220" s="3">
        <v>45352</v>
      </c>
      <c r="F220">
        <v>7</v>
      </c>
      <c r="G220">
        <v>9</v>
      </c>
      <c r="H220" t="s">
        <v>73</v>
      </c>
      <c r="I220" t="s">
        <v>68</v>
      </c>
      <c r="J220">
        <v>2024</v>
      </c>
      <c r="K220">
        <v>3</v>
      </c>
      <c r="L220" s="3">
        <v>45352</v>
      </c>
    </row>
    <row r="221" spans="1:12">
      <c r="A221" t="s">
        <v>310</v>
      </c>
      <c r="B221" t="s">
        <v>306</v>
      </c>
      <c r="C221" t="s">
        <v>306</v>
      </c>
      <c r="D221" t="s">
        <v>307</v>
      </c>
      <c r="E221" s="3">
        <v>45383</v>
      </c>
      <c r="F221">
        <v>2</v>
      </c>
      <c r="G221">
        <v>1</v>
      </c>
      <c r="H221" t="s">
        <v>73</v>
      </c>
      <c r="I221" t="s">
        <v>68</v>
      </c>
      <c r="J221">
        <v>2024</v>
      </c>
      <c r="K221">
        <v>4</v>
      </c>
      <c r="L221" s="3">
        <v>45383</v>
      </c>
    </row>
    <row r="222" spans="1:12">
      <c r="A222" t="s">
        <v>311</v>
      </c>
      <c r="B222" t="s">
        <v>306</v>
      </c>
      <c r="C222" t="s">
        <v>306</v>
      </c>
      <c r="D222" t="s">
        <v>307</v>
      </c>
      <c r="E222" s="3">
        <v>45413</v>
      </c>
      <c r="F222">
        <v>13</v>
      </c>
      <c r="G222">
        <v>9</v>
      </c>
      <c r="H222" t="s">
        <v>71</v>
      </c>
      <c r="I222" t="s">
        <v>68</v>
      </c>
      <c r="J222">
        <v>2024</v>
      </c>
      <c r="K222">
        <v>5</v>
      </c>
      <c r="L222" s="3">
        <v>45413</v>
      </c>
    </row>
    <row r="223" spans="1:12">
      <c r="A223" t="s">
        <v>312</v>
      </c>
      <c r="B223" t="s">
        <v>306</v>
      </c>
      <c r="C223" t="s">
        <v>306</v>
      </c>
      <c r="D223" t="s">
        <v>307</v>
      </c>
      <c r="E223" s="3">
        <v>45444</v>
      </c>
      <c r="F223">
        <v>6</v>
      </c>
      <c r="G223">
        <v>11</v>
      </c>
      <c r="H223" t="s">
        <v>71</v>
      </c>
      <c r="I223" t="s">
        <v>68</v>
      </c>
      <c r="J223">
        <v>2024</v>
      </c>
      <c r="K223">
        <v>6</v>
      </c>
      <c r="L223" s="3">
        <v>45444</v>
      </c>
    </row>
    <row r="224" spans="1:12">
      <c r="A224" t="s">
        <v>313</v>
      </c>
      <c r="B224" t="s">
        <v>306</v>
      </c>
      <c r="C224" t="s">
        <v>306</v>
      </c>
      <c r="D224" t="s">
        <v>307</v>
      </c>
      <c r="E224" s="3">
        <v>45474</v>
      </c>
      <c r="F224">
        <v>8</v>
      </c>
      <c r="G224">
        <v>5</v>
      </c>
      <c r="H224" t="s">
        <v>67</v>
      </c>
      <c r="I224" t="s">
        <v>68</v>
      </c>
      <c r="J224">
        <v>2024</v>
      </c>
      <c r="K224">
        <v>7</v>
      </c>
      <c r="L224" s="3">
        <v>45474</v>
      </c>
    </row>
    <row r="225" spans="1:12">
      <c r="A225" t="s">
        <v>314</v>
      </c>
      <c r="B225" t="s">
        <v>306</v>
      </c>
      <c r="C225" t="s">
        <v>306</v>
      </c>
      <c r="D225" t="s">
        <v>307</v>
      </c>
      <c r="E225" s="3">
        <v>45505</v>
      </c>
      <c r="F225">
        <v>10</v>
      </c>
      <c r="G225">
        <v>6</v>
      </c>
      <c r="H225" t="s">
        <v>67</v>
      </c>
      <c r="I225" t="s">
        <v>68</v>
      </c>
      <c r="J225">
        <v>2024</v>
      </c>
      <c r="K225">
        <v>8</v>
      </c>
      <c r="L225" s="3">
        <v>45505</v>
      </c>
    </row>
    <row r="226" spans="1:12">
      <c r="A226" t="s">
        <v>315</v>
      </c>
      <c r="B226" t="s">
        <v>306</v>
      </c>
      <c r="C226" t="s">
        <v>306</v>
      </c>
      <c r="D226" t="s">
        <v>307</v>
      </c>
      <c r="E226" s="3">
        <v>45536</v>
      </c>
      <c r="F226">
        <v>1</v>
      </c>
      <c r="G226">
        <v>0</v>
      </c>
      <c r="H226" t="s">
        <v>73</v>
      </c>
      <c r="I226" t="s">
        <v>68</v>
      </c>
      <c r="J226">
        <v>2024</v>
      </c>
      <c r="K226">
        <v>9</v>
      </c>
      <c r="L226" s="3">
        <v>45536</v>
      </c>
    </row>
    <row r="227" spans="1:12">
      <c r="A227" t="s">
        <v>316</v>
      </c>
      <c r="B227" t="s">
        <v>306</v>
      </c>
      <c r="C227" t="s">
        <v>306</v>
      </c>
      <c r="D227" t="s">
        <v>307</v>
      </c>
      <c r="E227" s="3">
        <v>45566</v>
      </c>
      <c r="F227">
        <v>4</v>
      </c>
      <c r="G227">
        <v>2</v>
      </c>
      <c r="H227" t="s">
        <v>73</v>
      </c>
      <c r="I227" t="s">
        <v>68</v>
      </c>
      <c r="J227">
        <v>2024</v>
      </c>
      <c r="K227">
        <v>10</v>
      </c>
      <c r="L227" s="3">
        <v>45566</v>
      </c>
    </row>
    <row r="228" spans="1:12">
      <c r="A228" t="s">
        <v>317</v>
      </c>
      <c r="B228" t="s">
        <v>306</v>
      </c>
      <c r="C228" t="s">
        <v>306</v>
      </c>
      <c r="D228" t="s">
        <v>307</v>
      </c>
      <c r="E228" s="3">
        <v>45597</v>
      </c>
      <c r="F228">
        <v>5</v>
      </c>
      <c r="G228">
        <v>7</v>
      </c>
      <c r="H228" t="s">
        <v>73</v>
      </c>
      <c r="I228" t="s">
        <v>68</v>
      </c>
      <c r="J228">
        <v>2024</v>
      </c>
      <c r="K228">
        <v>11</v>
      </c>
      <c r="L228" s="3">
        <v>45597</v>
      </c>
    </row>
    <row r="229" spans="1:12">
      <c r="A229" t="s">
        <v>318</v>
      </c>
      <c r="B229" t="s">
        <v>306</v>
      </c>
      <c r="C229" t="s">
        <v>306</v>
      </c>
      <c r="D229" t="s">
        <v>307</v>
      </c>
      <c r="E229" s="3">
        <v>45627</v>
      </c>
      <c r="F229">
        <v>7</v>
      </c>
      <c r="G229">
        <v>8</v>
      </c>
      <c r="H229" t="s">
        <v>78</v>
      </c>
      <c r="I229" t="s">
        <v>68</v>
      </c>
      <c r="J229">
        <v>2024</v>
      </c>
      <c r="K229">
        <v>12</v>
      </c>
      <c r="L229" s="3">
        <v>45627</v>
      </c>
    </row>
    <row r="230" spans="1:12">
      <c r="A230" t="s">
        <v>319</v>
      </c>
      <c r="B230" t="s">
        <v>306</v>
      </c>
      <c r="C230" t="s">
        <v>306</v>
      </c>
      <c r="D230" t="s">
        <v>307</v>
      </c>
      <c r="E230" s="3">
        <v>45658</v>
      </c>
      <c r="F230">
        <v>13</v>
      </c>
      <c r="G230">
        <v>17</v>
      </c>
      <c r="H230" t="s">
        <v>71</v>
      </c>
      <c r="I230" t="s">
        <v>68</v>
      </c>
      <c r="J230">
        <v>2025</v>
      </c>
      <c r="K230">
        <v>1</v>
      </c>
      <c r="L230" s="3">
        <v>45658</v>
      </c>
    </row>
    <row r="231" spans="1:12">
      <c r="A231" t="s">
        <v>320</v>
      </c>
      <c r="B231" t="s">
        <v>306</v>
      </c>
      <c r="C231" t="s">
        <v>306</v>
      </c>
      <c r="D231" t="s">
        <v>307</v>
      </c>
      <c r="E231" s="3">
        <v>45689</v>
      </c>
      <c r="F231">
        <v>5</v>
      </c>
      <c r="G231">
        <v>3</v>
      </c>
      <c r="H231" t="s">
        <v>67</v>
      </c>
      <c r="I231" t="s">
        <v>68</v>
      </c>
      <c r="J231">
        <v>2025</v>
      </c>
      <c r="K231">
        <v>2</v>
      </c>
      <c r="L231" s="3">
        <v>45689</v>
      </c>
    </row>
    <row r="232" spans="1:12">
      <c r="A232" t="s">
        <v>321</v>
      </c>
      <c r="B232" t="s">
        <v>306</v>
      </c>
      <c r="C232" t="s">
        <v>306</v>
      </c>
      <c r="D232" t="s">
        <v>307</v>
      </c>
      <c r="E232" s="3">
        <v>45717</v>
      </c>
      <c r="F232">
        <v>6</v>
      </c>
      <c r="G232">
        <v>5</v>
      </c>
      <c r="H232" t="s">
        <v>71</v>
      </c>
      <c r="I232" t="s">
        <v>68</v>
      </c>
      <c r="J232">
        <v>2025</v>
      </c>
      <c r="K232">
        <v>3</v>
      </c>
      <c r="L232" s="3">
        <v>45717</v>
      </c>
    </row>
    <row r="233" spans="1:12">
      <c r="A233" t="s">
        <v>322</v>
      </c>
      <c r="B233" t="s">
        <v>306</v>
      </c>
      <c r="C233" t="s">
        <v>306</v>
      </c>
      <c r="D233" t="s">
        <v>307</v>
      </c>
      <c r="E233" s="3">
        <v>45748</v>
      </c>
      <c r="F233">
        <v>11</v>
      </c>
      <c r="G233">
        <v>7</v>
      </c>
      <c r="H233" t="s">
        <v>67</v>
      </c>
      <c r="I233" t="s">
        <v>68</v>
      </c>
      <c r="J233">
        <v>2025</v>
      </c>
      <c r="K233">
        <v>4</v>
      </c>
      <c r="L233" s="3">
        <v>45748</v>
      </c>
    </row>
    <row r="234" spans="1:12">
      <c r="A234" t="s">
        <v>323</v>
      </c>
      <c r="B234" t="s">
        <v>306</v>
      </c>
      <c r="C234" t="s">
        <v>306</v>
      </c>
      <c r="D234" t="s">
        <v>307</v>
      </c>
      <c r="E234" s="3">
        <v>45778</v>
      </c>
      <c r="F234">
        <v>11</v>
      </c>
      <c r="G234">
        <v>6</v>
      </c>
      <c r="H234" t="s">
        <v>73</v>
      </c>
      <c r="I234" t="s">
        <v>68</v>
      </c>
      <c r="J234">
        <v>2025</v>
      </c>
      <c r="K234">
        <v>5</v>
      </c>
      <c r="L234" s="3">
        <v>45778</v>
      </c>
    </row>
    <row r="235" spans="1:12">
      <c r="A235" t="s">
        <v>324</v>
      </c>
      <c r="B235" t="s">
        <v>306</v>
      </c>
      <c r="C235" t="s">
        <v>306</v>
      </c>
      <c r="D235" t="s">
        <v>307</v>
      </c>
      <c r="E235" s="3">
        <v>45809</v>
      </c>
      <c r="F235">
        <v>6</v>
      </c>
      <c r="G235">
        <v>5</v>
      </c>
      <c r="H235" t="s">
        <v>71</v>
      </c>
      <c r="I235" t="s">
        <v>68</v>
      </c>
      <c r="J235">
        <v>2025</v>
      </c>
      <c r="K235">
        <v>6</v>
      </c>
      <c r="L235" s="3">
        <v>45809</v>
      </c>
    </row>
    <row r="236" spans="1:12">
      <c r="A236" t="s">
        <v>325</v>
      </c>
      <c r="B236" t="s">
        <v>53</v>
      </c>
      <c r="C236" t="s">
        <v>53</v>
      </c>
      <c r="D236" t="s">
        <v>326</v>
      </c>
      <c r="E236" s="3">
        <v>45292</v>
      </c>
      <c r="F236">
        <v>45</v>
      </c>
      <c r="G236">
        <v>43</v>
      </c>
      <c r="H236" t="s">
        <v>78</v>
      </c>
      <c r="I236" t="s">
        <v>68</v>
      </c>
      <c r="J236">
        <v>2024</v>
      </c>
      <c r="K236">
        <v>1</v>
      </c>
      <c r="L236" s="3">
        <v>45292</v>
      </c>
    </row>
    <row r="237" spans="1:12">
      <c r="A237" t="s">
        <v>327</v>
      </c>
      <c r="B237" t="s">
        <v>53</v>
      </c>
      <c r="C237" t="s">
        <v>53</v>
      </c>
      <c r="D237" t="s">
        <v>326</v>
      </c>
      <c r="E237" s="3">
        <v>45323</v>
      </c>
      <c r="F237">
        <v>37</v>
      </c>
      <c r="G237">
        <v>39</v>
      </c>
      <c r="H237" t="s">
        <v>71</v>
      </c>
      <c r="I237" t="s">
        <v>68</v>
      </c>
      <c r="J237">
        <v>2024</v>
      </c>
      <c r="K237">
        <v>2</v>
      </c>
      <c r="L237" s="3">
        <v>45323</v>
      </c>
    </row>
    <row r="238" spans="1:12">
      <c r="A238" t="s">
        <v>328</v>
      </c>
      <c r="B238" t="s">
        <v>53</v>
      </c>
      <c r="C238" t="s">
        <v>53</v>
      </c>
      <c r="D238" t="s">
        <v>326</v>
      </c>
      <c r="E238" s="3">
        <v>45352</v>
      </c>
      <c r="F238">
        <v>53</v>
      </c>
      <c r="G238">
        <v>58</v>
      </c>
      <c r="H238" t="s">
        <v>67</v>
      </c>
      <c r="I238" t="s">
        <v>68</v>
      </c>
      <c r="J238">
        <v>2024</v>
      </c>
      <c r="K238">
        <v>3</v>
      </c>
      <c r="L238" s="3">
        <v>45352</v>
      </c>
    </row>
    <row r="239" spans="1:12">
      <c r="A239" t="s">
        <v>329</v>
      </c>
      <c r="B239" t="s">
        <v>53</v>
      </c>
      <c r="C239" t="s">
        <v>53</v>
      </c>
      <c r="D239" t="s">
        <v>326</v>
      </c>
      <c r="E239" s="3">
        <v>45383</v>
      </c>
      <c r="F239">
        <v>84</v>
      </c>
      <c r="G239">
        <v>89</v>
      </c>
      <c r="H239" t="s">
        <v>67</v>
      </c>
      <c r="I239" t="s">
        <v>68</v>
      </c>
      <c r="J239">
        <v>2024</v>
      </c>
      <c r="K239">
        <v>4</v>
      </c>
      <c r="L239" s="3">
        <v>45383</v>
      </c>
    </row>
    <row r="240" spans="1:12">
      <c r="A240" t="s">
        <v>330</v>
      </c>
      <c r="B240" t="s">
        <v>53</v>
      </c>
      <c r="C240" t="s">
        <v>53</v>
      </c>
      <c r="D240" t="s">
        <v>326</v>
      </c>
      <c r="E240" s="3">
        <v>45413</v>
      </c>
      <c r="F240">
        <v>46</v>
      </c>
      <c r="G240">
        <v>47</v>
      </c>
      <c r="H240" t="s">
        <v>71</v>
      </c>
      <c r="I240" t="s">
        <v>68</v>
      </c>
      <c r="J240">
        <v>2024</v>
      </c>
      <c r="K240">
        <v>5</v>
      </c>
      <c r="L240" s="3">
        <v>45413</v>
      </c>
    </row>
    <row r="241" spans="1:12">
      <c r="A241" t="s">
        <v>331</v>
      </c>
      <c r="B241" t="s">
        <v>53</v>
      </c>
      <c r="C241" t="s">
        <v>53</v>
      </c>
      <c r="D241" t="s">
        <v>326</v>
      </c>
      <c r="E241" s="3">
        <v>45444</v>
      </c>
      <c r="F241">
        <v>41</v>
      </c>
      <c r="G241">
        <v>40</v>
      </c>
      <c r="H241" t="s">
        <v>67</v>
      </c>
      <c r="I241" t="s">
        <v>68</v>
      </c>
      <c r="J241">
        <v>2024</v>
      </c>
      <c r="K241">
        <v>6</v>
      </c>
      <c r="L241" s="3">
        <v>45444</v>
      </c>
    </row>
    <row r="242" spans="1:12">
      <c r="A242" t="s">
        <v>332</v>
      </c>
      <c r="B242" t="s">
        <v>53</v>
      </c>
      <c r="C242" t="s">
        <v>53</v>
      </c>
      <c r="D242" t="s">
        <v>326</v>
      </c>
      <c r="E242" s="3">
        <v>45474</v>
      </c>
      <c r="F242">
        <v>37</v>
      </c>
      <c r="G242">
        <v>33</v>
      </c>
      <c r="H242" t="s">
        <v>71</v>
      </c>
      <c r="I242" t="s">
        <v>68</v>
      </c>
      <c r="J242">
        <v>2024</v>
      </c>
      <c r="K242">
        <v>7</v>
      </c>
      <c r="L242" s="3">
        <v>45474</v>
      </c>
    </row>
    <row r="243" spans="1:12">
      <c r="A243" t="s">
        <v>333</v>
      </c>
      <c r="B243" t="s">
        <v>53</v>
      </c>
      <c r="C243" t="s">
        <v>53</v>
      </c>
      <c r="D243" t="s">
        <v>326</v>
      </c>
      <c r="E243" s="3">
        <v>45505</v>
      </c>
      <c r="F243">
        <v>59</v>
      </c>
      <c r="G243">
        <v>63</v>
      </c>
      <c r="H243" t="s">
        <v>78</v>
      </c>
      <c r="I243" t="s">
        <v>68</v>
      </c>
      <c r="J243">
        <v>2024</v>
      </c>
      <c r="K243">
        <v>8</v>
      </c>
      <c r="L243" s="3">
        <v>45505</v>
      </c>
    </row>
    <row r="244" spans="1:12">
      <c r="A244" t="s">
        <v>334</v>
      </c>
      <c r="B244" t="s">
        <v>53</v>
      </c>
      <c r="C244" t="s">
        <v>53</v>
      </c>
      <c r="D244" t="s">
        <v>326</v>
      </c>
      <c r="E244" s="3">
        <v>45536</v>
      </c>
      <c r="F244">
        <v>76</v>
      </c>
      <c r="G244">
        <v>78</v>
      </c>
      <c r="H244" t="s">
        <v>71</v>
      </c>
      <c r="I244" t="s">
        <v>68</v>
      </c>
      <c r="J244">
        <v>2024</v>
      </c>
      <c r="K244">
        <v>9</v>
      </c>
      <c r="L244" s="3">
        <v>45536</v>
      </c>
    </row>
    <row r="245" spans="1:12">
      <c r="A245" t="s">
        <v>335</v>
      </c>
      <c r="B245" t="s">
        <v>53</v>
      </c>
      <c r="C245" t="s">
        <v>53</v>
      </c>
      <c r="D245" t="s">
        <v>326</v>
      </c>
      <c r="E245" s="3">
        <v>45566</v>
      </c>
      <c r="F245">
        <v>60</v>
      </c>
      <c r="G245">
        <v>61</v>
      </c>
      <c r="H245" t="s">
        <v>78</v>
      </c>
      <c r="I245" t="s">
        <v>68</v>
      </c>
      <c r="J245">
        <v>2024</v>
      </c>
      <c r="K245">
        <v>10</v>
      </c>
      <c r="L245" s="3">
        <v>45566</v>
      </c>
    </row>
    <row r="246" spans="1:12">
      <c r="A246" t="s">
        <v>336</v>
      </c>
      <c r="B246" t="s">
        <v>53</v>
      </c>
      <c r="C246" t="s">
        <v>53</v>
      </c>
      <c r="D246" t="s">
        <v>326</v>
      </c>
      <c r="E246" s="3">
        <v>45597</v>
      </c>
      <c r="F246">
        <v>70</v>
      </c>
      <c r="G246">
        <v>73</v>
      </c>
      <c r="H246" t="s">
        <v>73</v>
      </c>
      <c r="I246" t="s">
        <v>68</v>
      </c>
      <c r="J246">
        <v>2024</v>
      </c>
      <c r="K246">
        <v>11</v>
      </c>
      <c r="L246" s="3">
        <v>45597</v>
      </c>
    </row>
    <row r="247" spans="1:12">
      <c r="A247" t="s">
        <v>337</v>
      </c>
      <c r="B247" t="s">
        <v>53</v>
      </c>
      <c r="C247" t="s">
        <v>53</v>
      </c>
      <c r="D247" t="s">
        <v>326</v>
      </c>
      <c r="E247" s="3">
        <v>45627</v>
      </c>
      <c r="F247">
        <v>42</v>
      </c>
      <c r="G247">
        <v>43</v>
      </c>
      <c r="H247" t="s">
        <v>78</v>
      </c>
      <c r="I247" t="s">
        <v>68</v>
      </c>
      <c r="J247">
        <v>2024</v>
      </c>
      <c r="K247">
        <v>12</v>
      </c>
      <c r="L247" s="3">
        <v>45627</v>
      </c>
    </row>
    <row r="248" spans="1:12">
      <c r="A248" t="s">
        <v>338</v>
      </c>
      <c r="B248" t="s">
        <v>53</v>
      </c>
      <c r="C248" t="s">
        <v>53</v>
      </c>
      <c r="D248" t="s">
        <v>326</v>
      </c>
      <c r="E248" s="3">
        <v>45658</v>
      </c>
      <c r="F248">
        <v>46</v>
      </c>
      <c r="G248">
        <v>50</v>
      </c>
      <c r="H248" t="s">
        <v>78</v>
      </c>
      <c r="I248" t="s">
        <v>68</v>
      </c>
      <c r="J248">
        <v>2025</v>
      </c>
      <c r="K248">
        <v>1</v>
      </c>
      <c r="L248" s="3">
        <v>45658</v>
      </c>
    </row>
    <row r="249" spans="1:12">
      <c r="A249" t="s">
        <v>339</v>
      </c>
      <c r="B249" t="s">
        <v>53</v>
      </c>
      <c r="C249" t="s">
        <v>53</v>
      </c>
      <c r="D249" t="s">
        <v>326</v>
      </c>
      <c r="E249" s="3">
        <v>45689</v>
      </c>
      <c r="F249">
        <v>48</v>
      </c>
      <c r="G249">
        <v>53</v>
      </c>
      <c r="H249" t="s">
        <v>71</v>
      </c>
      <c r="I249" t="s">
        <v>68</v>
      </c>
      <c r="J249">
        <v>2025</v>
      </c>
      <c r="K249">
        <v>2</v>
      </c>
      <c r="L249" s="3">
        <v>45689</v>
      </c>
    </row>
    <row r="250" spans="1:12">
      <c r="A250" t="s">
        <v>340</v>
      </c>
      <c r="B250" t="s">
        <v>53</v>
      </c>
      <c r="C250" t="s">
        <v>53</v>
      </c>
      <c r="D250" t="s">
        <v>326</v>
      </c>
      <c r="E250" s="3">
        <v>45717</v>
      </c>
      <c r="F250">
        <v>69</v>
      </c>
      <c r="G250">
        <v>74</v>
      </c>
      <c r="H250" t="s">
        <v>78</v>
      </c>
      <c r="I250" t="s">
        <v>68</v>
      </c>
      <c r="J250">
        <v>2025</v>
      </c>
      <c r="K250">
        <v>3</v>
      </c>
      <c r="L250" s="3">
        <v>45717</v>
      </c>
    </row>
    <row r="251" spans="1:12">
      <c r="A251" t="s">
        <v>341</v>
      </c>
      <c r="B251" t="s">
        <v>53</v>
      </c>
      <c r="C251" t="s">
        <v>53</v>
      </c>
      <c r="D251" t="s">
        <v>326</v>
      </c>
      <c r="E251" s="3">
        <v>45748</v>
      </c>
      <c r="F251">
        <v>53</v>
      </c>
      <c r="G251">
        <v>50</v>
      </c>
      <c r="H251" t="s">
        <v>73</v>
      </c>
      <c r="I251" t="s">
        <v>68</v>
      </c>
      <c r="J251">
        <v>2025</v>
      </c>
      <c r="K251">
        <v>4</v>
      </c>
      <c r="L251" s="3">
        <v>45748</v>
      </c>
    </row>
    <row r="252" spans="1:12">
      <c r="A252" t="s">
        <v>342</v>
      </c>
      <c r="B252" t="s">
        <v>343</v>
      </c>
      <c r="C252" t="s">
        <v>53</v>
      </c>
      <c r="D252" t="s">
        <v>326</v>
      </c>
      <c r="E252" s="3">
        <v>45778</v>
      </c>
      <c r="F252">
        <v>47</v>
      </c>
      <c r="G252">
        <v>50</v>
      </c>
      <c r="H252" t="s">
        <v>73</v>
      </c>
      <c r="I252" t="s">
        <v>68</v>
      </c>
      <c r="J252">
        <v>2025</v>
      </c>
      <c r="K252">
        <v>5</v>
      </c>
      <c r="L252" s="3">
        <v>45778</v>
      </c>
    </row>
    <row r="253" spans="1:12">
      <c r="A253" t="s">
        <v>344</v>
      </c>
      <c r="B253" t="s">
        <v>53</v>
      </c>
      <c r="C253" t="s">
        <v>53</v>
      </c>
      <c r="D253" t="s">
        <v>326</v>
      </c>
      <c r="E253" s="3">
        <v>45809</v>
      </c>
      <c r="F253">
        <v>60</v>
      </c>
      <c r="G253">
        <v>64</v>
      </c>
      <c r="H253" t="s">
        <v>73</v>
      </c>
      <c r="I253" t="s">
        <v>68</v>
      </c>
      <c r="J253">
        <v>2025</v>
      </c>
      <c r="K253">
        <v>6</v>
      </c>
      <c r="L253" s="3">
        <v>45809</v>
      </c>
    </row>
    <row r="254" spans="1:12">
      <c r="A254" t="s">
        <v>345</v>
      </c>
      <c r="B254" t="s">
        <v>55</v>
      </c>
      <c r="C254" t="s">
        <v>55</v>
      </c>
      <c r="D254" t="s">
        <v>346</v>
      </c>
      <c r="E254" s="3">
        <v>45292</v>
      </c>
      <c r="F254">
        <v>47</v>
      </c>
      <c r="G254">
        <v>52</v>
      </c>
      <c r="H254" t="s">
        <v>73</v>
      </c>
      <c r="I254" t="s">
        <v>68</v>
      </c>
      <c r="J254">
        <v>2024</v>
      </c>
      <c r="K254">
        <v>1</v>
      </c>
      <c r="L254" s="3">
        <v>45292</v>
      </c>
    </row>
    <row r="255" spans="1:12">
      <c r="A255" t="s">
        <v>347</v>
      </c>
      <c r="B255" t="s">
        <v>55</v>
      </c>
      <c r="C255" t="s">
        <v>55</v>
      </c>
      <c r="D255" t="s">
        <v>346</v>
      </c>
      <c r="E255" s="3">
        <v>45323</v>
      </c>
      <c r="F255">
        <v>59</v>
      </c>
      <c r="G255">
        <v>60</v>
      </c>
      <c r="H255" t="s">
        <v>78</v>
      </c>
      <c r="I255" t="s">
        <v>68</v>
      </c>
      <c r="J255">
        <v>2024</v>
      </c>
      <c r="K255">
        <v>2</v>
      </c>
      <c r="L255" s="3">
        <v>45323</v>
      </c>
    </row>
    <row r="256" spans="1:12">
      <c r="A256" t="s">
        <v>348</v>
      </c>
      <c r="B256" t="s">
        <v>55</v>
      </c>
      <c r="C256" t="s">
        <v>55</v>
      </c>
      <c r="D256" t="s">
        <v>346</v>
      </c>
      <c r="E256" s="3">
        <v>45352</v>
      </c>
      <c r="F256">
        <v>48</v>
      </c>
      <c r="G256">
        <v>48</v>
      </c>
      <c r="H256" t="s">
        <v>71</v>
      </c>
      <c r="I256" t="s">
        <v>68</v>
      </c>
      <c r="J256">
        <v>2024</v>
      </c>
      <c r="K256">
        <v>3</v>
      </c>
      <c r="L256" s="3">
        <v>45352</v>
      </c>
    </row>
    <row r="257" spans="1:12">
      <c r="A257" t="s">
        <v>349</v>
      </c>
      <c r="B257" t="s">
        <v>55</v>
      </c>
      <c r="C257" t="s">
        <v>55</v>
      </c>
      <c r="D257" t="s">
        <v>346</v>
      </c>
      <c r="E257" s="3">
        <v>45383</v>
      </c>
      <c r="F257">
        <v>55</v>
      </c>
      <c r="G257">
        <v>57</v>
      </c>
      <c r="H257" t="s">
        <v>78</v>
      </c>
      <c r="I257" t="s">
        <v>68</v>
      </c>
      <c r="J257">
        <v>2024</v>
      </c>
      <c r="K257">
        <v>4</v>
      </c>
      <c r="L257" s="3">
        <v>45383</v>
      </c>
    </row>
    <row r="258" spans="1:12">
      <c r="A258" t="s">
        <v>350</v>
      </c>
      <c r="B258" t="s">
        <v>55</v>
      </c>
      <c r="C258" t="s">
        <v>55</v>
      </c>
      <c r="D258" t="s">
        <v>346</v>
      </c>
      <c r="E258" s="3">
        <v>45413</v>
      </c>
      <c r="F258">
        <v>43</v>
      </c>
      <c r="G258">
        <v>48</v>
      </c>
      <c r="H258" t="s">
        <v>73</v>
      </c>
      <c r="I258" t="s">
        <v>68</v>
      </c>
      <c r="J258">
        <v>2024</v>
      </c>
      <c r="K258">
        <v>5</v>
      </c>
      <c r="L258" s="3">
        <v>45413</v>
      </c>
    </row>
    <row r="259" spans="1:12">
      <c r="A259" t="s">
        <v>351</v>
      </c>
      <c r="B259" t="s">
        <v>55</v>
      </c>
      <c r="C259" t="s">
        <v>55</v>
      </c>
      <c r="D259" t="s">
        <v>346</v>
      </c>
      <c r="E259" s="3">
        <v>45444</v>
      </c>
      <c r="F259">
        <v>54</v>
      </c>
      <c r="G259">
        <v>56</v>
      </c>
      <c r="H259" t="s">
        <v>71</v>
      </c>
      <c r="I259" t="s">
        <v>68</v>
      </c>
      <c r="J259">
        <v>2024</v>
      </c>
      <c r="K259">
        <v>6</v>
      </c>
      <c r="L259" s="3">
        <v>45444</v>
      </c>
    </row>
    <row r="260" spans="1:12">
      <c r="A260" t="s">
        <v>352</v>
      </c>
      <c r="B260" t="s">
        <v>55</v>
      </c>
      <c r="C260" t="s">
        <v>55</v>
      </c>
      <c r="D260" t="s">
        <v>346</v>
      </c>
      <c r="E260" s="3">
        <v>45474</v>
      </c>
      <c r="F260">
        <v>39</v>
      </c>
      <c r="G260">
        <v>39</v>
      </c>
      <c r="H260" t="s">
        <v>78</v>
      </c>
      <c r="I260" t="s">
        <v>68</v>
      </c>
      <c r="J260">
        <v>2024</v>
      </c>
      <c r="K260">
        <v>7</v>
      </c>
      <c r="L260" s="3">
        <v>45474</v>
      </c>
    </row>
    <row r="261" spans="1:12">
      <c r="A261" t="s">
        <v>353</v>
      </c>
      <c r="B261" t="s">
        <v>55</v>
      </c>
      <c r="C261" t="s">
        <v>55</v>
      </c>
      <c r="D261" t="s">
        <v>346</v>
      </c>
      <c r="E261" s="3">
        <v>45505</v>
      </c>
      <c r="F261">
        <v>39</v>
      </c>
      <c r="G261">
        <v>40</v>
      </c>
      <c r="H261" t="s">
        <v>71</v>
      </c>
      <c r="I261" t="s">
        <v>68</v>
      </c>
      <c r="J261">
        <v>2024</v>
      </c>
      <c r="K261">
        <v>8</v>
      </c>
      <c r="L261" s="3">
        <v>45505</v>
      </c>
    </row>
    <row r="262" spans="1:12">
      <c r="A262" t="s">
        <v>354</v>
      </c>
      <c r="B262" t="s">
        <v>55</v>
      </c>
      <c r="C262" t="s">
        <v>55</v>
      </c>
      <c r="D262" t="s">
        <v>346</v>
      </c>
      <c r="E262" s="3">
        <v>45536</v>
      </c>
      <c r="F262">
        <v>71</v>
      </c>
      <c r="G262">
        <v>76</v>
      </c>
      <c r="H262" t="s">
        <v>73</v>
      </c>
      <c r="I262" t="s">
        <v>68</v>
      </c>
      <c r="J262">
        <v>2024</v>
      </c>
      <c r="K262">
        <v>9</v>
      </c>
      <c r="L262" s="3">
        <v>45536</v>
      </c>
    </row>
    <row r="263" spans="1:12">
      <c r="A263" t="s">
        <v>355</v>
      </c>
      <c r="B263" t="s">
        <v>55</v>
      </c>
      <c r="C263" t="s">
        <v>55</v>
      </c>
      <c r="D263" t="s">
        <v>346</v>
      </c>
      <c r="E263" s="3">
        <v>45566</v>
      </c>
      <c r="F263">
        <v>45</v>
      </c>
      <c r="G263">
        <v>45</v>
      </c>
      <c r="H263" t="s">
        <v>73</v>
      </c>
      <c r="I263" t="s">
        <v>68</v>
      </c>
      <c r="J263">
        <v>2024</v>
      </c>
      <c r="K263">
        <v>10</v>
      </c>
      <c r="L263" s="3">
        <v>45566</v>
      </c>
    </row>
    <row r="264" spans="1:12">
      <c r="A264" t="s">
        <v>356</v>
      </c>
      <c r="B264" t="s">
        <v>55</v>
      </c>
      <c r="C264" t="s">
        <v>55</v>
      </c>
      <c r="D264" t="s">
        <v>346</v>
      </c>
      <c r="E264" s="3">
        <v>45597</v>
      </c>
      <c r="F264">
        <v>53</v>
      </c>
      <c r="G264">
        <v>58</v>
      </c>
      <c r="H264" t="s">
        <v>73</v>
      </c>
      <c r="I264" t="s">
        <v>68</v>
      </c>
      <c r="J264">
        <v>2024</v>
      </c>
      <c r="K264">
        <v>11</v>
      </c>
      <c r="L264" s="3">
        <v>45597</v>
      </c>
    </row>
    <row r="265" spans="1:12">
      <c r="A265" t="s">
        <v>357</v>
      </c>
      <c r="B265" t="s">
        <v>55</v>
      </c>
      <c r="C265" t="s">
        <v>55</v>
      </c>
      <c r="D265" t="s">
        <v>346</v>
      </c>
      <c r="E265" s="3">
        <v>45627</v>
      </c>
      <c r="F265">
        <v>50</v>
      </c>
      <c r="G265">
        <v>53</v>
      </c>
      <c r="H265" t="s">
        <v>67</v>
      </c>
      <c r="I265" t="s">
        <v>68</v>
      </c>
      <c r="J265">
        <v>2024</v>
      </c>
      <c r="K265">
        <v>12</v>
      </c>
      <c r="L265" s="3">
        <v>45627</v>
      </c>
    </row>
    <row r="266" spans="1:12">
      <c r="A266" t="s">
        <v>358</v>
      </c>
      <c r="B266" t="s">
        <v>55</v>
      </c>
      <c r="C266" t="s">
        <v>55</v>
      </c>
      <c r="D266" t="s">
        <v>346</v>
      </c>
      <c r="E266" s="3">
        <v>45658</v>
      </c>
      <c r="F266">
        <v>43</v>
      </c>
      <c r="G266">
        <v>42</v>
      </c>
      <c r="H266" t="s">
        <v>73</v>
      </c>
      <c r="I266" t="s">
        <v>68</v>
      </c>
      <c r="J266">
        <v>2025</v>
      </c>
      <c r="K266">
        <v>1</v>
      </c>
      <c r="L266" s="3">
        <v>45658</v>
      </c>
    </row>
    <row r="267" spans="1:12">
      <c r="A267" t="s">
        <v>359</v>
      </c>
      <c r="B267" t="s">
        <v>55</v>
      </c>
      <c r="C267" t="s">
        <v>55</v>
      </c>
      <c r="D267" t="s">
        <v>346</v>
      </c>
      <c r="E267" s="3">
        <v>45689</v>
      </c>
      <c r="F267">
        <v>57</v>
      </c>
      <c r="G267">
        <v>52</v>
      </c>
      <c r="H267" t="s">
        <v>67</v>
      </c>
      <c r="I267" t="s">
        <v>68</v>
      </c>
      <c r="J267">
        <v>2025</v>
      </c>
      <c r="K267">
        <v>2</v>
      </c>
      <c r="L267" s="3">
        <v>45689</v>
      </c>
    </row>
    <row r="268" spans="1:12">
      <c r="A268" t="s">
        <v>360</v>
      </c>
      <c r="B268" t="s">
        <v>55</v>
      </c>
      <c r="C268" t="s">
        <v>55</v>
      </c>
      <c r="D268" t="s">
        <v>346</v>
      </c>
      <c r="E268" s="3">
        <v>45717</v>
      </c>
      <c r="F268">
        <v>42</v>
      </c>
      <c r="G268">
        <v>39</v>
      </c>
      <c r="H268" t="s">
        <v>78</v>
      </c>
      <c r="I268" t="s">
        <v>68</v>
      </c>
      <c r="J268">
        <v>2025</v>
      </c>
      <c r="K268">
        <v>3</v>
      </c>
      <c r="L268" s="3">
        <v>45717</v>
      </c>
    </row>
    <row r="269" spans="1:12">
      <c r="A269" t="s">
        <v>361</v>
      </c>
      <c r="B269" t="s">
        <v>55</v>
      </c>
      <c r="C269" t="s">
        <v>55</v>
      </c>
      <c r="D269" t="s">
        <v>346</v>
      </c>
      <c r="E269" s="3">
        <v>45748</v>
      </c>
      <c r="F269">
        <v>39</v>
      </c>
      <c r="G269">
        <v>35</v>
      </c>
      <c r="H269" t="s">
        <v>67</v>
      </c>
      <c r="I269" t="s">
        <v>68</v>
      </c>
      <c r="J269">
        <v>2025</v>
      </c>
      <c r="K269">
        <v>4</v>
      </c>
      <c r="L269" s="3">
        <v>45748</v>
      </c>
    </row>
    <row r="270" spans="1:12">
      <c r="A270" t="s">
        <v>362</v>
      </c>
      <c r="B270" t="s">
        <v>55</v>
      </c>
      <c r="C270" t="s">
        <v>55</v>
      </c>
      <c r="D270" t="s">
        <v>346</v>
      </c>
      <c r="E270" s="3">
        <v>45778</v>
      </c>
      <c r="F270">
        <v>46</v>
      </c>
      <c r="G270">
        <v>42</v>
      </c>
      <c r="H270" t="s">
        <v>73</v>
      </c>
      <c r="I270" t="s">
        <v>68</v>
      </c>
      <c r="J270">
        <v>2025</v>
      </c>
      <c r="K270">
        <v>5</v>
      </c>
      <c r="L270" s="3">
        <v>45778</v>
      </c>
    </row>
    <row r="271" spans="1:12">
      <c r="A271" t="s">
        <v>363</v>
      </c>
      <c r="B271" t="s">
        <v>55</v>
      </c>
      <c r="C271" t="s">
        <v>55</v>
      </c>
      <c r="D271" t="s">
        <v>346</v>
      </c>
      <c r="E271" s="3">
        <v>45809</v>
      </c>
      <c r="F271">
        <v>62</v>
      </c>
      <c r="G271">
        <v>59</v>
      </c>
      <c r="H271" t="s">
        <v>73</v>
      </c>
      <c r="I271" t="s">
        <v>68</v>
      </c>
      <c r="J271">
        <v>2025</v>
      </c>
      <c r="K271">
        <v>6</v>
      </c>
      <c r="L271" s="3">
        <v>45809</v>
      </c>
    </row>
    <row r="272" spans="1:12">
      <c r="A272" t="s">
        <v>364</v>
      </c>
      <c r="B272" t="s">
        <v>365</v>
      </c>
      <c r="C272" t="s">
        <v>365</v>
      </c>
      <c r="D272" t="s">
        <v>366</v>
      </c>
      <c r="E272" s="3">
        <v>45292</v>
      </c>
      <c r="F272">
        <v>15</v>
      </c>
      <c r="G272">
        <v>14</v>
      </c>
      <c r="H272" t="s">
        <v>78</v>
      </c>
      <c r="I272" t="s">
        <v>68</v>
      </c>
      <c r="J272">
        <v>2024</v>
      </c>
      <c r="K272">
        <v>1</v>
      </c>
      <c r="L272" s="3">
        <v>45292</v>
      </c>
    </row>
    <row r="273" spans="1:12">
      <c r="A273" t="s">
        <v>367</v>
      </c>
      <c r="B273" t="s">
        <v>365</v>
      </c>
      <c r="C273" t="s">
        <v>365</v>
      </c>
      <c r="D273" t="s">
        <v>366</v>
      </c>
      <c r="E273" s="3">
        <v>45323</v>
      </c>
      <c r="F273">
        <v>11</v>
      </c>
      <c r="G273">
        <v>13</v>
      </c>
      <c r="H273" t="s">
        <v>67</v>
      </c>
      <c r="I273" t="s">
        <v>68</v>
      </c>
      <c r="J273">
        <v>2024</v>
      </c>
      <c r="K273">
        <v>2</v>
      </c>
      <c r="L273" s="3">
        <v>45323</v>
      </c>
    </row>
    <row r="274" spans="1:12">
      <c r="A274" t="s">
        <v>368</v>
      </c>
      <c r="B274" t="s">
        <v>365</v>
      </c>
      <c r="C274" t="s">
        <v>365</v>
      </c>
      <c r="D274" t="s">
        <v>366</v>
      </c>
      <c r="E274" s="3">
        <v>45352</v>
      </c>
      <c r="F274">
        <v>20</v>
      </c>
      <c r="G274">
        <v>24</v>
      </c>
      <c r="H274" t="s">
        <v>67</v>
      </c>
      <c r="I274" t="s">
        <v>68</v>
      </c>
      <c r="J274">
        <v>2024</v>
      </c>
      <c r="K274">
        <v>3</v>
      </c>
      <c r="L274" s="3">
        <v>45352</v>
      </c>
    </row>
    <row r="275" spans="1:12">
      <c r="A275" t="s">
        <v>369</v>
      </c>
      <c r="B275" t="s">
        <v>365</v>
      </c>
      <c r="C275" t="s">
        <v>365</v>
      </c>
      <c r="D275" t="s">
        <v>366</v>
      </c>
      <c r="E275" s="3">
        <v>45383</v>
      </c>
      <c r="F275">
        <v>17</v>
      </c>
      <c r="G275">
        <v>18</v>
      </c>
      <c r="H275" t="s">
        <v>78</v>
      </c>
      <c r="I275" t="s">
        <v>68</v>
      </c>
      <c r="J275">
        <v>2024</v>
      </c>
      <c r="K275">
        <v>4</v>
      </c>
      <c r="L275" s="3">
        <v>45383</v>
      </c>
    </row>
    <row r="276" spans="1:12">
      <c r="A276" t="s">
        <v>370</v>
      </c>
      <c r="B276" t="s">
        <v>365</v>
      </c>
      <c r="C276" t="s">
        <v>365</v>
      </c>
      <c r="D276" t="s">
        <v>366</v>
      </c>
      <c r="E276" s="3">
        <v>45413</v>
      </c>
      <c r="F276">
        <v>32</v>
      </c>
      <c r="G276">
        <v>35</v>
      </c>
      <c r="H276" t="s">
        <v>78</v>
      </c>
      <c r="I276" t="s">
        <v>68</v>
      </c>
      <c r="J276">
        <v>2024</v>
      </c>
      <c r="K276">
        <v>5</v>
      </c>
      <c r="L276" s="3">
        <v>45413</v>
      </c>
    </row>
    <row r="277" spans="1:12">
      <c r="A277" t="s">
        <v>371</v>
      </c>
      <c r="B277" t="s">
        <v>365</v>
      </c>
      <c r="C277" t="s">
        <v>365</v>
      </c>
      <c r="D277" t="s">
        <v>366</v>
      </c>
      <c r="E277" s="3">
        <v>45444</v>
      </c>
      <c r="F277">
        <v>18</v>
      </c>
      <c r="G277">
        <v>22</v>
      </c>
      <c r="H277" t="s">
        <v>73</v>
      </c>
      <c r="I277" t="s">
        <v>68</v>
      </c>
      <c r="J277">
        <v>2024</v>
      </c>
      <c r="K277">
        <v>6</v>
      </c>
      <c r="L277" s="3">
        <v>45444</v>
      </c>
    </row>
    <row r="278" spans="1:12">
      <c r="A278" t="s">
        <v>372</v>
      </c>
      <c r="B278" t="s">
        <v>365</v>
      </c>
      <c r="C278" t="s">
        <v>365</v>
      </c>
      <c r="D278" t="s">
        <v>366</v>
      </c>
      <c r="E278" s="3">
        <v>45474</v>
      </c>
      <c r="F278">
        <v>25</v>
      </c>
      <c r="G278">
        <v>27</v>
      </c>
      <c r="H278" t="s">
        <v>73</v>
      </c>
      <c r="I278" t="s">
        <v>68</v>
      </c>
      <c r="J278">
        <v>2024</v>
      </c>
      <c r="K278">
        <v>7</v>
      </c>
      <c r="L278" s="3">
        <v>45474</v>
      </c>
    </row>
    <row r="279" spans="1:12">
      <c r="A279" t="s">
        <v>373</v>
      </c>
      <c r="B279" t="s">
        <v>365</v>
      </c>
      <c r="C279" t="s">
        <v>365</v>
      </c>
      <c r="D279" t="s">
        <v>366</v>
      </c>
      <c r="E279" s="3">
        <v>45505</v>
      </c>
      <c r="F279">
        <v>0</v>
      </c>
      <c r="G279">
        <v>3</v>
      </c>
      <c r="H279" t="s">
        <v>73</v>
      </c>
      <c r="I279" t="s">
        <v>68</v>
      </c>
      <c r="J279">
        <v>2024</v>
      </c>
      <c r="K279">
        <v>8</v>
      </c>
      <c r="L279" s="3">
        <v>45505</v>
      </c>
    </row>
    <row r="280" spans="1:12">
      <c r="A280" t="s">
        <v>374</v>
      </c>
      <c r="B280" t="s">
        <v>365</v>
      </c>
      <c r="C280" t="s">
        <v>365</v>
      </c>
      <c r="D280" t="s">
        <v>366</v>
      </c>
      <c r="E280" s="3">
        <v>45536</v>
      </c>
      <c r="F280">
        <v>17</v>
      </c>
      <c r="G280">
        <v>15</v>
      </c>
      <c r="H280" t="s">
        <v>73</v>
      </c>
      <c r="I280" t="s">
        <v>68</v>
      </c>
      <c r="J280">
        <v>2024</v>
      </c>
      <c r="K280">
        <v>9</v>
      </c>
      <c r="L280" s="3">
        <v>45536</v>
      </c>
    </row>
    <row r="281" spans="1:12">
      <c r="A281" t="s">
        <v>375</v>
      </c>
      <c r="B281" t="s">
        <v>365</v>
      </c>
      <c r="C281" t="s">
        <v>365</v>
      </c>
      <c r="D281" t="s">
        <v>366</v>
      </c>
      <c r="E281" s="3">
        <v>45566</v>
      </c>
      <c r="F281">
        <v>0</v>
      </c>
      <c r="G281">
        <v>1</v>
      </c>
      <c r="H281" t="s">
        <v>71</v>
      </c>
      <c r="I281" t="s">
        <v>68</v>
      </c>
      <c r="J281">
        <v>2024</v>
      </c>
      <c r="K281">
        <v>10</v>
      </c>
      <c r="L281" s="3">
        <v>45566</v>
      </c>
    </row>
    <row r="282" spans="1:12">
      <c r="A282" t="s">
        <v>376</v>
      </c>
      <c r="B282" t="s">
        <v>365</v>
      </c>
      <c r="C282" t="s">
        <v>365</v>
      </c>
      <c r="D282" t="s">
        <v>366</v>
      </c>
      <c r="E282" s="3">
        <v>45597</v>
      </c>
      <c r="F282">
        <v>0</v>
      </c>
      <c r="G282">
        <v>2</v>
      </c>
      <c r="H282" t="s">
        <v>73</v>
      </c>
      <c r="I282" t="s">
        <v>68</v>
      </c>
      <c r="J282">
        <v>2024</v>
      </c>
      <c r="K282">
        <v>11</v>
      </c>
      <c r="L282" s="3">
        <v>45597</v>
      </c>
    </row>
    <row r="283" spans="1:12">
      <c r="A283" t="s">
        <v>377</v>
      </c>
      <c r="B283" t="s">
        <v>365</v>
      </c>
      <c r="C283" t="s">
        <v>365</v>
      </c>
      <c r="D283" t="s">
        <v>366</v>
      </c>
      <c r="E283" s="3">
        <v>45627</v>
      </c>
      <c r="F283">
        <v>23</v>
      </c>
      <c r="G283">
        <v>28</v>
      </c>
      <c r="H283" t="s">
        <v>67</v>
      </c>
      <c r="I283" t="s">
        <v>68</v>
      </c>
      <c r="J283">
        <v>2024</v>
      </c>
      <c r="K283">
        <v>12</v>
      </c>
      <c r="L283" s="3">
        <v>45627</v>
      </c>
    </row>
    <row r="284" spans="1:12">
      <c r="A284" t="s">
        <v>378</v>
      </c>
      <c r="B284" t="s">
        <v>365</v>
      </c>
      <c r="C284" t="s">
        <v>365</v>
      </c>
      <c r="D284" t="s">
        <v>366</v>
      </c>
      <c r="E284" s="3">
        <v>45658</v>
      </c>
      <c r="F284">
        <v>28</v>
      </c>
      <c r="G284">
        <v>32</v>
      </c>
      <c r="H284" t="s">
        <v>78</v>
      </c>
      <c r="I284" t="s">
        <v>68</v>
      </c>
      <c r="J284">
        <v>2025</v>
      </c>
      <c r="K284">
        <v>1</v>
      </c>
      <c r="L284" s="3">
        <v>45658</v>
      </c>
    </row>
    <row r="285" spans="1:12">
      <c r="A285" t="s">
        <v>379</v>
      </c>
      <c r="B285" t="s">
        <v>365</v>
      </c>
      <c r="C285" t="s">
        <v>365</v>
      </c>
      <c r="D285" t="s">
        <v>366</v>
      </c>
      <c r="E285" s="3">
        <v>45689</v>
      </c>
      <c r="F285">
        <v>21</v>
      </c>
      <c r="G285">
        <v>23</v>
      </c>
      <c r="H285" t="s">
        <v>71</v>
      </c>
      <c r="I285" t="s">
        <v>68</v>
      </c>
      <c r="J285">
        <v>2025</v>
      </c>
      <c r="K285">
        <v>2</v>
      </c>
      <c r="L285" s="3">
        <v>45689</v>
      </c>
    </row>
    <row r="286" spans="1:12">
      <c r="A286" t="s">
        <v>380</v>
      </c>
      <c r="B286" t="s">
        <v>365</v>
      </c>
      <c r="C286" t="s">
        <v>365</v>
      </c>
      <c r="D286" t="s">
        <v>366</v>
      </c>
      <c r="E286" s="3">
        <v>45717</v>
      </c>
      <c r="F286">
        <v>7</v>
      </c>
      <c r="G286">
        <v>8</v>
      </c>
      <c r="H286" t="s">
        <v>67</v>
      </c>
      <c r="I286" t="s">
        <v>68</v>
      </c>
      <c r="J286">
        <v>2025</v>
      </c>
      <c r="K286">
        <v>3</v>
      </c>
      <c r="L286" s="3">
        <v>45717</v>
      </c>
    </row>
    <row r="287" spans="1:12">
      <c r="A287" t="s">
        <v>381</v>
      </c>
      <c r="B287" t="s">
        <v>365</v>
      </c>
      <c r="C287" t="s">
        <v>365</v>
      </c>
      <c r="D287" t="s">
        <v>366</v>
      </c>
      <c r="E287" s="3">
        <v>45748</v>
      </c>
      <c r="F287">
        <v>0</v>
      </c>
      <c r="G287">
        <v>0</v>
      </c>
      <c r="H287" t="s">
        <v>78</v>
      </c>
      <c r="I287" t="s">
        <v>68</v>
      </c>
      <c r="J287">
        <v>2025</v>
      </c>
      <c r="K287">
        <v>4</v>
      </c>
      <c r="L287" s="3">
        <v>45748</v>
      </c>
    </row>
    <row r="288" spans="1:12">
      <c r="A288" t="s">
        <v>382</v>
      </c>
      <c r="B288" t="s">
        <v>365</v>
      </c>
      <c r="C288" t="s">
        <v>365</v>
      </c>
      <c r="D288" t="s">
        <v>366</v>
      </c>
      <c r="E288" s="3">
        <v>45778</v>
      </c>
      <c r="F288">
        <v>22</v>
      </c>
      <c r="G288">
        <v>23</v>
      </c>
      <c r="H288" t="s">
        <v>71</v>
      </c>
      <c r="I288" t="s">
        <v>68</v>
      </c>
      <c r="J288">
        <v>2025</v>
      </c>
      <c r="K288">
        <v>5</v>
      </c>
      <c r="L288" s="3">
        <v>45778</v>
      </c>
    </row>
    <row r="289" spans="1:12">
      <c r="A289" t="s">
        <v>383</v>
      </c>
      <c r="B289" t="s">
        <v>365</v>
      </c>
      <c r="C289" t="s">
        <v>365</v>
      </c>
      <c r="D289" t="s">
        <v>366</v>
      </c>
      <c r="E289" s="3">
        <v>45809</v>
      </c>
      <c r="F289">
        <v>28</v>
      </c>
      <c r="G289">
        <v>29</v>
      </c>
      <c r="H289" t="s">
        <v>78</v>
      </c>
      <c r="I289" t="s">
        <v>68</v>
      </c>
      <c r="J289">
        <v>2025</v>
      </c>
      <c r="K289">
        <v>6</v>
      </c>
      <c r="L289" s="3">
        <v>45809</v>
      </c>
    </row>
    <row r="290" spans="1:12">
      <c r="A290" t="s">
        <v>384</v>
      </c>
      <c r="B290" t="s">
        <v>385</v>
      </c>
      <c r="C290" t="s">
        <v>385</v>
      </c>
      <c r="D290" t="s">
        <v>386</v>
      </c>
      <c r="E290" s="3">
        <v>45292</v>
      </c>
      <c r="F290">
        <v>0</v>
      </c>
      <c r="G290">
        <v>2</v>
      </c>
      <c r="H290" t="s">
        <v>71</v>
      </c>
      <c r="I290" t="s">
        <v>68</v>
      </c>
      <c r="J290">
        <v>2024</v>
      </c>
      <c r="K290">
        <v>1</v>
      </c>
      <c r="L290" s="3">
        <v>45292</v>
      </c>
    </row>
    <row r="291" spans="1:12">
      <c r="A291" t="s">
        <v>387</v>
      </c>
      <c r="B291" t="s">
        <v>385</v>
      </c>
      <c r="C291" t="s">
        <v>385</v>
      </c>
      <c r="D291" t="s">
        <v>386</v>
      </c>
      <c r="E291" s="3">
        <v>45323</v>
      </c>
      <c r="F291">
        <v>6</v>
      </c>
      <c r="G291">
        <v>5</v>
      </c>
      <c r="H291" t="s">
        <v>67</v>
      </c>
      <c r="I291" t="s">
        <v>68</v>
      </c>
      <c r="J291">
        <v>2024</v>
      </c>
      <c r="K291">
        <v>2</v>
      </c>
      <c r="L291" s="3">
        <v>45323</v>
      </c>
    </row>
    <row r="292" spans="1:12">
      <c r="A292" t="s">
        <v>388</v>
      </c>
      <c r="B292" t="s">
        <v>385</v>
      </c>
      <c r="C292" t="s">
        <v>385</v>
      </c>
      <c r="D292" t="s">
        <v>386</v>
      </c>
      <c r="E292" s="3">
        <v>45352</v>
      </c>
      <c r="F292">
        <v>6</v>
      </c>
      <c r="G292">
        <v>7</v>
      </c>
      <c r="H292" t="s">
        <v>71</v>
      </c>
      <c r="I292" t="s">
        <v>68</v>
      </c>
      <c r="J292">
        <v>2024</v>
      </c>
      <c r="K292">
        <v>3</v>
      </c>
      <c r="L292" s="3">
        <v>45352</v>
      </c>
    </row>
    <row r="293" spans="1:12">
      <c r="A293" t="s">
        <v>389</v>
      </c>
      <c r="B293" t="s">
        <v>385</v>
      </c>
      <c r="C293" t="s">
        <v>385</v>
      </c>
      <c r="D293" t="s">
        <v>386</v>
      </c>
      <c r="E293" s="3">
        <v>45383</v>
      </c>
      <c r="F293">
        <v>20</v>
      </c>
      <c r="G293">
        <v>19</v>
      </c>
      <c r="H293" t="s">
        <v>71</v>
      </c>
      <c r="I293" t="s">
        <v>68</v>
      </c>
      <c r="J293">
        <v>2024</v>
      </c>
      <c r="K293">
        <v>4</v>
      </c>
      <c r="L293" s="3">
        <v>45383</v>
      </c>
    </row>
    <row r="294" spans="1:12">
      <c r="A294" t="s">
        <v>390</v>
      </c>
      <c r="B294" t="s">
        <v>385</v>
      </c>
      <c r="C294" t="s">
        <v>385</v>
      </c>
      <c r="D294" t="s">
        <v>386</v>
      </c>
      <c r="E294" s="3">
        <v>45413</v>
      </c>
      <c r="F294">
        <v>0</v>
      </c>
      <c r="G294">
        <v>0</v>
      </c>
      <c r="H294" t="s">
        <v>78</v>
      </c>
      <c r="I294" t="s">
        <v>68</v>
      </c>
      <c r="J294">
        <v>2024</v>
      </c>
      <c r="K294">
        <v>5</v>
      </c>
      <c r="L294" s="3">
        <v>45413</v>
      </c>
    </row>
    <row r="295" spans="1:12">
      <c r="A295" t="s">
        <v>391</v>
      </c>
      <c r="B295" t="s">
        <v>385</v>
      </c>
      <c r="C295" t="s">
        <v>385</v>
      </c>
      <c r="D295" t="s">
        <v>386</v>
      </c>
      <c r="E295" s="3">
        <v>45444</v>
      </c>
      <c r="F295">
        <v>7</v>
      </c>
      <c r="G295">
        <v>11</v>
      </c>
      <c r="H295" t="s">
        <v>67</v>
      </c>
      <c r="I295" t="s">
        <v>68</v>
      </c>
      <c r="J295">
        <v>2024</v>
      </c>
      <c r="K295">
        <v>6</v>
      </c>
      <c r="L295" s="3">
        <v>45444</v>
      </c>
    </row>
    <row r="296" spans="1:12">
      <c r="A296" t="s">
        <v>392</v>
      </c>
      <c r="B296" t="s">
        <v>385</v>
      </c>
      <c r="C296" t="s">
        <v>385</v>
      </c>
      <c r="D296" t="s">
        <v>386</v>
      </c>
      <c r="E296" s="3">
        <v>45474</v>
      </c>
      <c r="F296">
        <v>12</v>
      </c>
      <c r="G296">
        <v>8</v>
      </c>
      <c r="H296" t="s">
        <v>73</v>
      </c>
      <c r="I296" t="s">
        <v>68</v>
      </c>
      <c r="J296">
        <v>2024</v>
      </c>
      <c r="K296">
        <v>7</v>
      </c>
      <c r="L296" s="3">
        <v>45474</v>
      </c>
    </row>
    <row r="297" spans="1:12">
      <c r="A297" t="s">
        <v>393</v>
      </c>
      <c r="B297" t="s">
        <v>385</v>
      </c>
      <c r="C297" t="s">
        <v>385</v>
      </c>
      <c r="D297" t="s">
        <v>386</v>
      </c>
      <c r="E297" s="3">
        <v>45505</v>
      </c>
      <c r="F297">
        <v>6</v>
      </c>
      <c r="G297">
        <v>3</v>
      </c>
      <c r="H297" t="s">
        <v>67</v>
      </c>
      <c r="I297" t="s">
        <v>68</v>
      </c>
      <c r="J297">
        <v>2024</v>
      </c>
      <c r="K297">
        <v>8</v>
      </c>
      <c r="L297" s="3">
        <v>45505</v>
      </c>
    </row>
    <row r="298" spans="1:12">
      <c r="A298" t="s">
        <v>394</v>
      </c>
      <c r="B298" t="s">
        <v>385</v>
      </c>
      <c r="C298" t="s">
        <v>385</v>
      </c>
      <c r="D298" t="s">
        <v>386</v>
      </c>
      <c r="E298" s="3">
        <v>45536</v>
      </c>
      <c r="F298">
        <v>6</v>
      </c>
      <c r="G298">
        <v>5</v>
      </c>
      <c r="H298" t="s">
        <v>73</v>
      </c>
      <c r="I298" t="s">
        <v>68</v>
      </c>
      <c r="J298">
        <v>2024</v>
      </c>
      <c r="K298">
        <v>9</v>
      </c>
      <c r="L298" s="3">
        <v>45536</v>
      </c>
    </row>
    <row r="299" spans="1:12">
      <c r="A299" t="s">
        <v>395</v>
      </c>
      <c r="B299" t="s">
        <v>385</v>
      </c>
      <c r="C299" t="s">
        <v>385</v>
      </c>
      <c r="D299" t="s">
        <v>386</v>
      </c>
      <c r="E299" s="3">
        <v>45566</v>
      </c>
      <c r="F299">
        <v>9</v>
      </c>
      <c r="G299">
        <v>8</v>
      </c>
      <c r="H299" t="s">
        <v>67</v>
      </c>
      <c r="I299" t="s">
        <v>68</v>
      </c>
      <c r="J299">
        <v>2024</v>
      </c>
      <c r="K299">
        <v>10</v>
      </c>
      <c r="L299" s="3">
        <v>45566</v>
      </c>
    </row>
    <row r="300" spans="1:12">
      <c r="A300" t="s">
        <v>396</v>
      </c>
      <c r="B300" t="s">
        <v>385</v>
      </c>
      <c r="C300" t="s">
        <v>385</v>
      </c>
      <c r="D300" t="s">
        <v>386</v>
      </c>
      <c r="E300" s="3">
        <v>45597</v>
      </c>
      <c r="F300">
        <v>30</v>
      </c>
      <c r="G300">
        <v>34</v>
      </c>
      <c r="H300" t="s">
        <v>78</v>
      </c>
      <c r="I300" t="s">
        <v>68</v>
      </c>
      <c r="J300">
        <v>2024</v>
      </c>
      <c r="K300">
        <v>11</v>
      </c>
      <c r="L300" s="3">
        <v>45597</v>
      </c>
    </row>
    <row r="301" spans="1:12">
      <c r="A301" t="s">
        <v>397</v>
      </c>
      <c r="B301" t="s">
        <v>385</v>
      </c>
      <c r="C301" t="s">
        <v>385</v>
      </c>
      <c r="D301" t="s">
        <v>386</v>
      </c>
      <c r="E301" s="3">
        <v>45627</v>
      </c>
      <c r="F301">
        <v>5</v>
      </c>
      <c r="G301">
        <v>4</v>
      </c>
      <c r="H301" t="s">
        <v>67</v>
      </c>
      <c r="I301" t="s">
        <v>68</v>
      </c>
      <c r="J301">
        <v>2024</v>
      </c>
      <c r="K301">
        <v>12</v>
      </c>
      <c r="L301" s="3">
        <v>45627</v>
      </c>
    </row>
    <row r="302" spans="1:12">
      <c r="A302" t="s">
        <v>398</v>
      </c>
      <c r="B302" t="s">
        <v>385</v>
      </c>
      <c r="C302" t="s">
        <v>385</v>
      </c>
      <c r="D302" t="s">
        <v>386</v>
      </c>
      <c r="E302" s="3">
        <v>45658</v>
      </c>
      <c r="F302">
        <v>4</v>
      </c>
      <c r="G302">
        <v>6</v>
      </c>
      <c r="H302" t="s">
        <v>71</v>
      </c>
      <c r="I302" t="s">
        <v>68</v>
      </c>
      <c r="J302">
        <v>2025</v>
      </c>
      <c r="K302">
        <v>1</v>
      </c>
      <c r="L302" s="3">
        <v>45658</v>
      </c>
    </row>
    <row r="303" spans="1:12">
      <c r="A303" t="s">
        <v>399</v>
      </c>
      <c r="B303" t="s">
        <v>385</v>
      </c>
      <c r="C303" t="s">
        <v>385</v>
      </c>
      <c r="D303" t="s">
        <v>386</v>
      </c>
      <c r="E303" s="3">
        <v>45689</v>
      </c>
      <c r="F303">
        <v>10</v>
      </c>
      <c r="G303">
        <v>9</v>
      </c>
      <c r="H303" t="s">
        <v>71</v>
      </c>
      <c r="I303" t="s">
        <v>68</v>
      </c>
      <c r="J303">
        <v>2025</v>
      </c>
      <c r="K303">
        <v>2</v>
      </c>
      <c r="L303" s="3">
        <v>45689</v>
      </c>
    </row>
    <row r="304" spans="1:12">
      <c r="A304" t="s">
        <v>400</v>
      </c>
      <c r="B304" t="s">
        <v>385</v>
      </c>
      <c r="C304" t="s">
        <v>385</v>
      </c>
      <c r="D304" t="s">
        <v>386</v>
      </c>
      <c r="E304" s="3">
        <v>45717</v>
      </c>
      <c r="F304">
        <v>18</v>
      </c>
      <c r="G304">
        <v>23</v>
      </c>
      <c r="H304" t="s">
        <v>73</v>
      </c>
      <c r="I304" t="s">
        <v>68</v>
      </c>
      <c r="J304">
        <v>2025</v>
      </c>
      <c r="K304">
        <v>3</v>
      </c>
      <c r="L304" s="3">
        <v>45717</v>
      </c>
    </row>
    <row r="305" spans="1:12">
      <c r="A305" t="s">
        <v>401</v>
      </c>
      <c r="B305" t="s">
        <v>385</v>
      </c>
      <c r="C305" t="s">
        <v>385</v>
      </c>
      <c r="D305" t="s">
        <v>386</v>
      </c>
      <c r="E305" s="3">
        <v>45748</v>
      </c>
      <c r="F305">
        <v>8</v>
      </c>
      <c r="G305">
        <v>3</v>
      </c>
      <c r="H305" t="s">
        <v>73</v>
      </c>
      <c r="I305" t="s">
        <v>68</v>
      </c>
      <c r="J305">
        <v>2025</v>
      </c>
      <c r="K305">
        <v>4</v>
      </c>
      <c r="L305" s="3">
        <v>45748</v>
      </c>
    </row>
    <row r="306" spans="1:12">
      <c r="A306" t="s">
        <v>402</v>
      </c>
      <c r="B306" t="s">
        <v>385</v>
      </c>
      <c r="C306" t="s">
        <v>385</v>
      </c>
      <c r="D306" t="s">
        <v>386</v>
      </c>
      <c r="E306" s="3">
        <v>45778</v>
      </c>
      <c r="F306">
        <v>18</v>
      </c>
      <c r="G306">
        <v>17</v>
      </c>
      <c r="H306" t="s">
        <v>67</v>
      </c>
      <c r="I306" t="s">
        <v>68</v>
      </c>
      <c r="J306">
        <v>2025</v>
      </c>
      <c r="K306">
        <v>5</v>
      </c>
      <c r="L306" s="3">
        <v>45778</v>
      </c>
    </row>
    <row r="307" spans="1:12">
      <c r="A307" t="s">
        <v>403</v>
      </c>
      <c r="B307" t="s">
        <v>385</v>
      </c>
      <c r="C307" t="s">
        <v>385</v>
      </c>
      <c r="D307" t="s">
        <v>386</v>
      </c>
      <c r="E307" s="3">
        <v>45809</v>
      </c>
      <c r="F307">
        <v>5</v>
      </c>
      <c r="G307">
        <v>9</v>
      </c>
      <c r="H307" t="s">
        <v>78</v>
      </c>
      <c r="I307" t="s">
        <v>68</v>
      </c>
      <c r="J307">
        <v>2025</v>
      </c>
      <c r="K307">
        <v>6</v>
      </c>
      <c r="L307" s="3">
        <v>45809</v>
      </c>
    </row>
    <row r="308" spans="1:12">
      <c r="A308" t="s">
        <v>404</v>
      </c>
      <c r="B308" t="s">
        <v>37</v>
      </c>
      <c r="C308" t="s">
        <v>37</v>
      </c>
      <c r="D308" t="s">
        <v>405</v>
      </c>
      <c r="E308" s="3">
        <v>45292</v>
      </c>
      <c r="F308">
        <v>657</v>
      </c>
      <c r="G308">
        <v>662</v>
      </c>
      <c r="H308" t="s">
        <v>67</v>
      </c>
      <c r="I308" t="s">
        <v>68</v>
      </c>
      <c r="J308">
        <v>2024</v>
      </c>
      <c r="K308">
        <v>1</v>
      </c>
      <c r="L308" s="3">
        <v>45292</v>
      </c>
    </row>
    <row r="309" spans="1:12">
      <c r="A309" t="s">
        <v>406</v>
      </c>
      <c r="B309" t="s">
        <v>37</v>
      </c>
      <c r="C309" t="s">
        <v>37</v>
      </c>
      <c r="D309" t="s">
        <v>405</v>
      </c>
      <c r="E309" s="3">
        <v>45323</v>
      </c>
      <c r="F309">
        <v>543</v>
      </c>
      <c r="G309">
        <v>548</v>
      </c>
      <c r="H309" t="s">
        <v>71</v>
      </c>
      <c r="I309" t="s">
        <v>68</v>
      </c>
      <c r="J309">
        <v>2024</v>
      </c>
      <c r="K309">
        <v>2</v>
      </c>
      <c r="L309" s="3">
        <v>45323</v>
      </c>
    </row>
    <row r="310" spans="1:12">
      <c r="A310" t="s">
        <v>407</v>
      </c>
      <c r="B310" t="s">
        <v>37</v>
      </c>
      <c r="C310" t="s">
        <v>37</v>
      </c>
      <c r="D310" t="s">
        <v>405</v>
      </c>
      <c r="E310" s="3">
        <v>45352</v>
      </c>
      <c r="F310">
        <v>521</v>
      </c>
      <c r="G310">
        <v>520</v>
      </c>
      <c r="H310" t="s">
        <v>73</v>
      </c>
      <c r="I310" t="s">
        <v>68</v>
      </c>
      <c r="J310">
        <v>2024</v>
      </c>
      <c r="K310">
        <v>3</v>
      </c>
      <c r="L310" s="3">
        <v>45352</v>
      </c>
    </row>
    <row r="311" spans="1:12">
      <c r="A311" t="s">
        <v>408</v>
      </c>
      <c r="B311" t="s">
        <v>37</v>
      </c>
      <c r="C311" t="s">
        <v>37</v>
      </c>
      <c r="D311" t="s">
        <v>405</v>
      </c>
      <c r="E311" s="3">
        <v>45383</v>
      </c>
      <c r="F311">
        <v>775</v>
      </c>
      <c r="G311">
        <v>772</v>
      </c>
      <c r="H311" t="s">
        <v>71</v>
      </c>
      <c r="I311" t="s">
        <v>68</v>
      </c>
      <c r="J311">
        <v>2024</v>
      </c>
      <c r="K311">
        <v>4</v>
      </c>
      <c r="L311" s="3">
        <v>45383</v>
      </c>
    </row>
    <row r="312" spans="1:12">
      <c r="A312" t="s">
        <v>409</v>
      </c>
      <c r="B312" t="s">
        <v>37</v>
      </c>
      <c r="C312" t="s">
        <v>37</v>
      </c>
      <c r="D312" t="s">
        <v>405</v>
      </c>
      <c r="E312" s="3">
        <v>45413</v>
      </c>
      <c r="F312">
        <v>681</v>
      </c>
      <c r="G312">
        <v>680</v>
      </c>
      <c r="H312" t="s">
        <v>78</v>
      </c>
      <c r="I312" t="s">
        <v>68</v>
      </c>
      <c r="J312">
        <v>2024</v>
      </c>
      <c r="K312">
        <v>5</v>
      </c>
      <c r="L312" s="3">
        <v>45413</v>
      </c>
    </row>
    <row r="313" spans="1:12">
      <c r="A313" t="s">
        <v>410</v>
      </c>
      <c r="B313" t="s">
        <v>37</v>
      </c>
      <c r="C313" t="s">
        <v>37</v>
      </c>
      <c r="D313" t="s">
        <v>405</v>
      </c>
      <c r="E313" s="3">
        <v>45444</v>
      </c>
      <c r="F313">
        <v>643</v>
      </c>
      <c r="G313">
        <v>640</v>
      </c>
      <c r="H313" t="s">
        <v>78</v>
      </c>
      <c r="I313" t="s">
        <v>68</v>
      </c>
      <c r="J313">
        <v>2024</v>
      </c>
      <c r="K313">
        <v>6</v>
      </c>
      <c r="L313" s="3">
        <v>45444</v>
      </c>
    </row>
    <row r="314" spans="1:12">
      <c r="A314" t="s">
        <v>411</v>
      </c>
      <c r="B314" t="s">
        <v>37</v>
      </c>
      <c r="C314" t="s">
        <v>37</v>
      </c>
      <c r="D314" t="s">
        <v>405</v>
      </c>
      <c r="E314" s="3">
        <v>45474</v>
      </c>
      <c r="F314">
        <v>562</v>
      </c>
      <c r="G314">
        <v>565</v>
      </c>
      <c r="H314" t="s">
        <v>78</v>
      </c>
      <c r="I314" t="s">
        <v>68</v>
      </c>
      <c r="J314">
        <v>2024</v>
      </c>
      <c r="K314">
        <v>7</v>
      </c>
      <c r="L314" s="3">
        <v>45474</v>
      </c>
    </row>
    <row r="315" spans="1:12">
      <c r="A315" t="s">
        <v>412</v>
      </c>
      <c r="B315" t="s">
        <v>37</v>
      </c>
      <c r="C315" t="s">
        <v>37</v>
      </c>
      <c r="D315" t="s">
        <v>405</v>
      </c>
      <c r="E315" s="3">
        <v>45505</v>
      </c>
      <c r="F315">
        <v>655</v>
      </c>
      <c r="G315">
        <v>657</v>
      </c>
      <c r="H315" t="s">
        <v>78</v>
      </c>
      <c r="I315" t="s">
        <v>68</v>
      </c>
      <c r="J315">
        <v>2024</v>
      </c>
      <c r="K315">
        <v>8</v>
      </c>
      <c r="L315" s="3">
        <v>45505</v>
      </c>
    </row>
    <row r="316" spans="1:12">
      <c r="A316" t="s">
        <v>413</v>
      </c>
      <c r="B316" t="s">
        <v>37</v>
      </c>
      <c r="C316" t="s">
        <v>37</v>
      </c>
      <c r="D316" t="s">
        <v>405</v>
      </c>
      <c r="E316" s="3">
        <v>45536</v>
      </c>
      <c r="F316">
        <v>527</v>
      </c>
      <c r="G316">
        <v>527</v>
      </c>
      <c r="H316" t="s">
        <v>71</v>
      </c>
      <c r="I316" t="s">
        <v>68</v>
      </c>
      <c r="J316">
        <v>2024</v>
      </c>
      <c r="K316">
        <v>9</v>
      </c>
      <c r="L316" s="3">
        <v>45536</v>
      </c>
    </row>
    <row r="317" spans="1:12">
      <c r="A317" t="s">
        <v>414</v>
      </c>
      <c r="B317" t="s">
        <v>37</v>
      </c>
      <c r="C317" t="s">
        <v>37</v>
      </c>
      <c r="D317" t="s">
        <v>405</v>
      </c>
      <c r="E317" s="3">
        <v>45566</v>
      </c>
      <c r="F317">
        <v>543</v>
      </c>
      <c r="G317">
        <v>541</v>
      </c>
      <c r="H317" t="s">
        <v>73</v>
      </c>
      <c r="I317" t="s">
        <v>68</v>
      </c>
      <c r="J317">
        <v>2024</v>
      </c>
      <c r="K317">
        <v>10</v>
      </c>
      <c r="L317" s="3">
        <v>45566</v>
      </c>
    </row>
    <row r="318" spans="1:12">
      <c r="A318" t="s">
        <v>415</v>
      </c>
      <c r="B318" t="s">
        <v>37</v>
      </c>
      <c r="C318" t="s">
        <v>37</v>
      </c>
      <c r="D318" t="s">
        <v>405</v>
      </c>
      <c r="E318" s="3">
        <v>45597</v>
      </c>
      <c r="F318">
        <v>578</v>
      </c>
      <c r="G318">
        <v>581</v>
      </c>
      <c r="H318" t="s">
        <v>78</v>
      </c>
      <c r="I318" t="s">
        <v>68</v>
      </c>
      <c r="J318">
        <v>2024</v>
      </c>
      <c r="K318">
        <v>11</v>
      </c>
      <c r="L318" s="3">
        <v>45597</v>
      </c>
    </row>
    <row r="319" spans="1:12">
      <c r="A319" t="s">
        <v>416</v>
      </c>
      <c r="B319" t="s">
        <v>37</v>
      </c>
      <c r="C319" t="s">
        <v>37</v>
      </c>
      <c r="D319" t="s">
        <v>405</v>
      </c>
      <c r="E319" s="3">
        <v>45627</v>
      </c>
      <c r="F319">
        <v>646</v>
      </c>
      <c r="G319">
        <v>645</v>
      </c>
      <c r="H319" t="s">
        <v>71</v>
      </c>
      <c r="I319" t="s">
        <v>68</v>
      </c>
      <c r="J319">
        <v>2024</v>
      </c>
      <c r="K319">
        <v>12</v>
      </c>
      <c r="L319" s="3">
        <v>45627</v>
      </c>
    </row>
    <row r="320" spans="1:12">
      <c r="A320" t="s">
        <v>417</v>
      </c>
      <c r="B320" t="s">
        <v>37</v>
      </c>
      <c r="C320" t="s">
        <v>37</v>
      </c>
      <c r="D320" t="s">
        <v>405</v>
      </c>
      <c r="E320" s="3">
        <v>45658</v>
      </c>
      <c r="F320">
        <v>598</v>
      </c>
      <c r="G320">
        <v>600</v>
      </c>
      <c r="H320" t="s">
        <v>78</v>
      </c>
      <c r="I320" t="s">
        <v>68</v>
      </c>
      <c r="J320">
        <v>2025</v>
      </c>
      <c r="K320">
        <v>1</v>
      </c>
      <c r="L320" s="3">
        <v>45658</v>
      </c>
    </row>
    <row r="321" spans="1:12">
      <c r="A321" t="s">
        <v>418</v>
      </c>
      <c r="B321" t="s">
        <v>37</v>
      </c>
      <c r="C321" t="s">
        <v>37</v>
      </c>
      <c r="D321" t="s">
        <v>405</v>
      </c>
      <c r="E321" s="3">
        <v>45689</v>
      </c>
      <c r="F321">
        <v>449</v>
      </c>
      <c r="G321">
        <v>453</v>
      </c>
      <c r="H321" t="s">
        <v>73</v>
      </c>
      <c r="I321" t="s">
        <v>68</v>
      </c>
      <c r="J321">
        <v>2025</v>
      </c>
      <c r="K321">
        <v>2</v>
      </c>
      <c r="L321" s="3">
        <v>45689</v>
      </c>
    </row>
    <row r="322" spans="1:12">
      <c r="A322" t="s">
        <v>419</v>
      </c>
      <c r="B322" t="s">
        <v>37</v>
      </c>
      <c r="C322" t="s">
        <v>37</v>
      </c>
      <c r="D322" t="s">
        <v>405</v>
      </c>
      <c r="E322" s="3">
        <v>45717</v>
      </c>
      <c r="F322">
        <v>367</v>
      </c>
      <c r="G322">
        <v>372</v>
      </c>
      <c r="H322" t="s">
        <v>78</v>
      </c>
      <c r="I322" t="s">
        <v>68</v>
      </c>
      <c r="J322">
        <v>2025</v>
      </c>
      <c r="K322">
        <v>3</v>
      </c>
      <c r="L322" s="3">
        <v>45717</v>
      </c>
    </row>
    <row r="323" spans="1:12">
      <c r="A323" t="s">
        <v>420</v>
      </c>
      <c r="B323" t="s">
        <v>37</v>
      </c>
      <c r="C323" t="s">
        <v>37</v>
      </c>
      <c r="D323" t="s">
        <v>405</v>
      </c>
      <c r="E323" s="3">
        <v>45748</v>
      </c>
      <c r="F323">
        <v>556</v>
      </c>
      <c r="G323">
        <v>551</v>
      </c>
      <c r="H323" t="s">
        <v>78</v>
      </c>
      <c r="I323" t="s">
        <v>68</v>
      </c>
      <c r="J323">
        <v>2025</v>
      </c>
      <c r="K323">
        <v>4</v>
      </c>
      <c r="L323" s="3">
        <v>45748</v>
      </c>
    </row>
    <row r="324" spans="1:12">
      <c r="A324" t="s">
        <v>421</v>
      </c>
      <c r="B324" t="s">
        <v>37</v>
      </c>
      <c r="C324" t="s">
        <v>37</v>
      </c>
      <c r="D324" t="s">
        <v>405</v>
      </c>
      <c r="E324" s="3">
        <v>45778</v>
      </c>
      <c r="F324">
        <v>529</v>
      </c>
      <c r="G324">
        <v>533</v>
      </c>
      <c r="H324" t="s">
        <v>67</v>
      </c>
      <c r="I324" t="s">
        <v>68</v>
      </c>
      <c r="J324">
        <v>2025</v>
      </c>
      <c r="K324">
        <v>5</v>
      </c>
      <c r="L324" s="3">
        <v>45778</v>
      </c>
    </row>
    <row r="325" spans="1:12">
      <c r="A325" t="s">
        <v>422</v>
      </c>
      <c r="B325" t="s">
        <v>37</v>
      </c>
      <c r="C325" t="s">
        <v>37</v>
      </c>
      <c r="D325" t="s">
        <v>405</v>
      </c>
      <c r="E325" s="3">
        <v>45809</v>
      </c>
      <c r="F325">
        <v>373</v>
      </c>
      <c r="G325">
        <v>375</v>
      </c>
      <c r="H325" t="s">
        <v>78</v>
      </c>
      <c r="I325" t="s">
        <v>68</v>
      </c>
      <c r="J325">
        <v>2025</v>
      </c>
      <c r="K325">
        <v>6</v>
      </c>
      <c r="L325" s="3">
        <v>45809</v>
      </c>
    </row>
    <row r="326" spans="1:12">
      <c r="A326" t="s">
        <v>423</v>
      </c>
      <c r="B326" t="s">
        <v>34</v>
      </c>
      <c r="C326" t="s">
        <v>34</v>
      </c>
      <c r="D326" t="s">
        <v>424</v>
      </c>
      <c r="E326" s="3">
        <v>45292</v>
      </c>
      <c r="F326">
        <v>297</v>
      </c>
      <c r="G326">
        <v>302</v>
      </c>
      <c r="H326" t="s">
        <v>73</v>
      </c>
      <c r="I326" t="s">
        <v>68</v>
      </c>
      <c r="J326">
        <v>2024</v>
      </c>
      <c r="K326">
        <v>1</v>
      </c>
      <c r="L326" s="3">
        <v>45292</v>
      </c>
    </row>
    <row r="327" spans="1:12">
      <c r="A327" t="s">
        <v>425</v>
      </c>
      <c r="B327" t="s">
        <v>34</v>
      </c>
      <c r="C327" t="s">
        <v>34</v>
      </c>
      <c r="D327" t="s">
        <v>424</v>
      </c>
      <c r="E327" s="3">
        <v>45323</v>
      </c>
      <c r="F327">
        <v>435</v>
      </c>
      <c r="G327">
        <v>430</v>
      </c>
      <c r="H327" t="s">
        <v>78</v>
      </c>
      <c r="I327" t="s">
        <v>68</v>
      </c>
      <c r="J327">
        <v>2024</v>
      </c>
      <c r="K327">
        <v>2</v>
      </c>
      <c r="L327" s="3">
        <v>45323</v>
      </c>
    </row>
    <row r="328" spans="1:12">
      <c r="A328" t="s">
        <v>426</v>
      </c>
      <c r="B328" t="s">
        <v>34</v>
      </c>
      <c r="C328" t="s">
        <v>34</v>
      </c>
      <c r="D328" t="s">
        <v>424</v>
      </c>
      <c r="E328" s="3">
        <v>45352</v>
      </c>
      <c r="F328">
        <v>448</v>
      </c>
      <c r="G328">
        <v>450</v>
      </c>
      <c r="H328" t="s">
        <v>71</v>
      </c>
      <c r="I328" t="s">
        <v>68</v>
      </c>
      <c r="J328">
        <v>2024</v>
      </c>
      <c r="K328">
        <v>3</v>
      </c>
      <c r="L328" s="3">
        <v>45352</v>
      </c>
    </row>
    <row r="329" spans="1:12">
      <c r="A329" t="s">
        <v>427</v>
      </c>
      <c r="B329" t="s">
        <v>34</v>
      </c>
      <c r="C329" t="s">
        <v>34</v>
      </c>
      <c r="D329" t="s">
        <v>424</v>
      </c>
      <c r="E329" s="3">
        <v>45383</v>
      </c>
      <c r="F329">
        <v>599</v>
      </c>
      <c r="G329">
        <v>596</v>
      </c>
      <c r="H329" t="s">
        <v>73</v>
      </c>
      <c r="I329" t="s">
        <v>68</v>
      </c>
      <c r="J329">
        <v>2024</v>
      </c>
      <c r="K329">
        <v>4</v>
      </c>
      <c r="L329" s="3">
        <v>45383</v>
      </c>
    </row>
    <row r="330" spans="1:12">
      <c r="A330" t="s">
        <v>428</v>
      </c>
      <c r="B330" t="s">
        <v>34</v>
      </c>
      <c r="C330" t="s">
        <v>34</v>
      </c>
      <c r="D330" t="s">
        <v>424</v>
      </c>
      <c r="E330" s="3">
        <v>45413</v>
      </c>
      <c r="F330">
        <v>567</v>
      </c>
      <c r="G330">
        <v>569</v>
      </c>
      <c r="H330" t="s">
        <v>78</v>
      </c>
      <c r="I330" t="s">
        <v>68</v>
      </c>
      <c r="J330">
        <v>2024</v>
      </c>
      <c r="K330">
        <v>5</v>
      </c>
      <c r="L330" s="3">
        <v>45413</v>
      </c>
    </row>
    <row r="331" spans="1:12">
      <c r="A331" t="s">
        <v>429</v>
      </c>
      <c r="B331" t="s">
        <v>34</v>
      </c>
      <c r="C331" t="s">
        <v>34</v>
      </c>
      <c r="D331" t="s">
        <v>424</v>
      </c>
      <c r="E331" s="3">
        <v>45444</v>
      </c>
      <c r="F331">
        <v>403</v>
      </c>
      <c r="G331">
        <v>406</v>
      </c>
      <c r="H331" t="s">
        <v>73</v>
      </c>
      <c r="I331" t="s">
        <v>68</v>
      </c>
      <c r="J331">
        <v>2024</v>
      </c>
      <c r="K331">
        <v>6</v>
      </c>
      <c r="L331" s="3">
        <v>45444</v>
      </c>
    </row>
    <row r="332" spans="1:12">
      <c r="A332" t="s">
        <v>430</v>
      </c>
      <c r="B332" t="s">
        <v>34</v>
      </c>
      <c r="C332" t="s">
        <v>34</v>
      </c>
      <c r="D332" t="s">
        <v>424</v>
      </c>
      <c r="E332" s="3">
        <v>45474</v>
      </c>
      <c r="F332">
        <v>359</v>
      </c>
      <c r="G332">
        <v>363</v>
      </c>
      <c r="H332" t="s">
        <v>67</v>
      </c>
      <c r="I332" t="s">
        <v>68</v>
      </c>
      <c r="J332">
        <v>2024</v>
      </c>
      <c r="K332">
        <v>7</v>
      </c>
      <c r="L332" s="3">
        <v>45474</v>
      </c>
    </row>
    <row r="333" spans="1:12">
      <c r="A333" t="s">
        <v>431</v>
      </c>
      <c r="B333" t="s">
        <v>34</v>
      </c>
      <c r="C333" t="s">
        <v>34</v>
      </c>
      <c r="D333" t="s">
        <v>424</v>
      </c>
      <c r="E333" s="3">
        <v>45505</v>
      </c>
      <c r="F333">
        <v>603</v>
      </c>
      <c r="G333">
        <v>605</v>
      </c>
      <c r="H333" t="s">
        <v>73</v>
      </c>
      <c r="I333" t="s">
        <v>68</v>
      </c>
      <c r="J333">
        <v>2024</v>
      </c>
      <c r="K333">
        <v>8</v>
      </c>
      <c r="L333" s="3">
        <v>45505</v>
      </c>
    </row>
    <row r="334" spans="1:12">
      <c r="A334" t="s">
        <v>432</v>
      </c>
      <c r="B334" t="s">
        <v>34</v>
      </c>
      <c r="C334" t="s">
        <v>34</v>
      </c>
      <c r="D334" t="s">
        <v>424</v>
      </c>
      <c r="E334" s="3">
        <v>45536</v>
      </c>
      <c r="F334">
        <v>433</v>
      </c>
      <c r="G334">
        <v>432</v>
      </c>
      <c r="H334" t="s">
        <v>71</v>
      </c>
      <c r="I334" t="s">
        <v>68</v>
      </c>
      <c r="J334">
        <v>2024</v>
      </c>
      <c r="K334">
        <v>9</v>
      </c>
      <c r="L334" s="3">
        <v>45536</v>
      </c>
    </row>
    <row r="335" spans="1:12">
      <c r="A335" t="s">
        <v>433</v>
      </c>
      <c r="B335" t="s">
        <v>34</v>
      </c>
      <c r="C335" t="s">
        <v>34</v>
      </c>
      <c r="D335" t="s">
        <v>424</v>
      </c>
      <c r="E335" s="3">
        <v>45566</v>
      </c>
      <c r="F335">
        <v>511</v>
      </c>
      <c r="G335">
        <v>513</v>
      </c>
      <c r="H335" t="s">
        <v>67</v>
      </c>
      <c r="I335" t="s">
        <v>68</v>
      </c>
      <c r="J335">
        <v>2024</v>
      </c>
      <c r="K335">
        <v>10</v>
      </c>
      <c r="L335" s="3">
        <v>45566</v>
      </c>
    </row>
    <row r="336" spans="1:12">
      <c r="A336" t="s">
        <v>434</v>
      </c>
      <c r="B336" t="s">
        <v>34</v>
      </c>
      <c r="C336" t="s">
        <v>34</v>
      </c>
      <c r="D336" t="s">
        <v>424</v>
      </c>
      <c r="E336" s="3">
        <v>45597</v>
      </c>
      <c r="F336">
        <v>491</v>
      </c>
      <c r="G336">
        <v>491</v>
      </c>
      <c r="H336" t="s">
        <v>71</v>
      </c>
      <c r="I336" t="s">
        <v>68</v>
      </c>
      <c r="J336">
        <v>2024</v>
      </c>
      <c r="K336">
        <v>11</v>
      </c>
      <c r="L336" s="3">
        <v>45597</v>
      </c>
    </row>
    <row r="337" spans="1:12">
      <c r="A337" t="s">
        <v>435</v>
      </c>
      <c r="B337" t="s">
        <v>34</v>
      </c>
      <c r="C337" t="s">
        <v>34</v>
      </c>
      <c r="D337" t="s">
        <v>424</v>
      </c>
      <c r="E337" s="3">
        <v>45627</v>
      </c>
      <c r="F337">
        <v>650</v>
      </c>
      <c r="G337">
        <v>655</v>
      </c>
      <c r="H337" t="s">
        <v>78</v>
      </c>
      <c r="I337" t="s">
        <v>68</v>
      </c>
      <c r="J337">
        <v>2024</v>
      </c>
      <c r="K337">
        <v>12</v>
      </c>
      <c r="L337" s="3">
        <v>45627</v>
      </c>
    </row>
    <row r="338" spans="1:12">
      <c r="A338" t="s">
        <v>436</v>
      </c>
      <c r="B338" t="s">
        <v>34</v>
      </c>
      <c r="C338" t="s">
        <v>34</v>
      </c>
      <c r="D338" t="s">
        <v>424</v>
      </c>
      <c r="E338" s="3">
        <v>45658</v>
      </c>
      <c r="F338">
        <v>569</v>
      </c>
      <c r="G338">
        <v>564</v>
      </c>
      <c r="H338" t="s">
        <v>73</v>
      </c>
      <c r="I338" t="s">
        <v>68</v>
      </c>
      <c r="J338">
        <v>2025</v>
      </c>
      <c r="K338">
        <v>1</v>
      </c>
      <c r="L338" s="3">
        <v>45658</v>
      </c>
    </row>
    <row r="339" spans="1:12">
      <c r="A339" t="s">
        <v>437</v>
      </c>
      <c r="B339" t="s">
        <v>34</v>
      </c>
      <c r="C339" t="s">
        <v>34</v>
      </c>
      <c r="D339" t="s">
        <v>424</v>
      </c>
      <c r="E339" s="3">
        <v>45689</v>
      </c>
      <c r="F339">
        <v>556</v>
      </c>
      <c r="G339">
        <v>558</v>
      </c>
      <c r="H339" t="s">
        <v>71</v>
      </c>
      <c r="I339" t="s">
        <v>68</v>
      </c>
      <c r="J339">
        <v>2025</v>
      </c>
      <c r="K339">
        <v>2</v>
      </c>
      <c r="L339" s="3">
        <v>45689</v>
      </c>
    </row>
    <row r="340" spans="1:12">
      <c r="A340" t="s">
        <v>438</v>
      </c>
      <c r="B340" t="s">
        <v>34</v>
      </c>
      <c r="C340" t="s">
        <v>34</v>
      </c>
      <c r="D340" t="s">
        <v>424</v>
      </c>
      <c r="E340" s="3">
        <v>45717</v>
      </c>
      <c r="F340">
        <v>843</v>
      </c>
      <c r="G340">
        <v>848</v>
      </c>
      <c r="H340" t="s">
        <v>67</v>
      </c>
      <c r="I340" t="s">
        <v>68</v>
      </c>
      <c r="J340">
        <v>2025</v>
      </c>
      <c r="K340">
        <v>3</v>
      </c>
      <c r="L340" s="3">
        <v>45717</v>
      </c>
    </row>
    <row r="341" spans="1:12">
      <c r="A341" t="s">
        <v>439</v>
      </c>
      <c r="B341" t="s">
        <v>34</v>
      </c>
      <c r="C341" t="s">
        <v>34</v>
      </c>
      <c r="D341" t="s">
        <v>424</v>
      </c>
      <c r="E341" s="3">
        <v>45748</v>
      </c>
      <c r="F341">
        <v>548</v>
      </c>
      <c r="G341">
        <v>543</v>
      </c>
      <c r="H341" t="s">
        <v>71</v>
      </c>
      <c r="I341" t="s">
        <v>68</v>
      </c>
      <c r="J341">
        <v>2025</v>
      </c>
      <c r="K341">
        <v>4</v>
      </c>
      <c r="L341" s="3">
        <v>45748</v>
      </c>
    </row>
    <row r="342" spans="1:12">
      <c r="A342" t="s">
        <v>440</v>
      </c>
      <c r="B342" t="s">
        <v>34</v>
      </c>
      <c r="C342" t="s">
        <v>34</v>
      </c>
      <c r="D342" t="s">
        <v>424</v>
      </c>
      <c r="E342" s="3">
        <v>45778</v>
      </c>
      <c r="F342">
        <v>545</v>
      </c>
      <c r="G342">
        <v>545</v>
      </c>
      <c r="H342" t="s">
        <v>67</v>
      </c>
      <c r="I342" t="s">
        <v>68</v>
      </c>
      <c r="J342">
        <v>2025</v>
      </c>
      <c r="K342">
        <v>5</v>
      </c>
      <c r="L342" s="3">
        <v>45778</v>
      </c>
    </row>
    <row r="343" spans="1:12">
      <c r="A343" t="s">
        <v>441</v>
      </c>
      <c r="B343" t="s">
        <v>34</v>
      </c>
      <c r="C343" t="s">
        <v>34</v>
      </c>
      <c r="D343" t="s">
        <v>424</v>
      </c>
      <c r="E343" s="3">
        <v>45809</v>
      </c>
      <c r="F343">
        <v>812</v>
      </c>
      <c r="G343">
        <v>810</v>
      </c>
      <c r="H343" t="s">
        <v>71</v>
      </c>
      <c r="I343" t="s">
        <v>68</v>
      </c>
      <c r="J343">
        <v>2025</v>
      </c>
      <c r="K343">
        <v>6</v>
      </c>
      <c r="L343" s="3">
        <v>45809</v>
      </c>
    </row>
    <row r="344" spans="1:12">
      <c r="A344" t="s">
        <v>442</v>
      </c>
      <c r="B344" t="s">
        <v>443</v>
      </c>
      <c r="C344" t="s">
        <v>443</v>
      </c>
      <c r="D344" t="s">
        <v>444</v>
      </c>
      <c r="E344" s="3">
        <v>45292</v>
      </c>
      <c r="F344">
        <v>32</v>
      </c>
      <c r="G344">
        <v>35</v>
      </c>
      <c r="H344" t="s">
        <v>67</v>
      </c>
      <c r="I344" t="s">
        <v>68</v>
      </c>
      <c r="J344">
        <v>2024</v>
      </c>
      <c r="K344">
        <v>1</v>
      </c>
      <c r="L344" s="3">
        <v>45292</v>
      </c>
    </row>
    <row r="345" spans="1:12">
      <c r="A345" t="s">
        <v>445</v>
      </c>
      <c r="B345" t="s">
        <v>443</v>
      </c>
      <c r="C345" t="s">
        <v>443</v>
      </c>
      <c r="D345" t="s">
        <v>444</v>
      </c>
      <c r="E345" s="3">
        <v>45323</v>
      </c>
      <c r="F345">
        <v>21</v>
      </c>
      <c r="G345">
        <v>19</v>
      </c>
      <c r="H345" t="s">
        <v>78</v>
      </c>
      <c r="I345" t="s">
        <v>68</v>
      </c>
      <c r="J345">
        <v>2024</v>
      </c>
      <c r="K345">
        <v>2</v>
      </c>
      <c r="L345" s="3">
        <v>45323</v>
      </c>
    </row>
    <row r="346" spans="1:12">
      <c r="A346" t="s">
        <v>446</v>
      </c>
      <c r="B346" t="s">
        <v>443</v>
      </c>
      <c r="C346" t="s">
        <v>443</v>
      </c>
      <c r="D346" t="s">
        <v>444</v>
      </c>
      <c r="E346" s="3">
        <v>45352</v>
      </c>
      <c r="F346">
        <v>48</v>
      </c>
      <c r="G346">
        <v>45</v>
      </c>
      <c r="H346" t="s">
        <v>71</v>
      </c>
      <c r="I346" t="s">
        <v>68</v>
      </c>
      <c r="J346">
        <v>2024</v>
      </c>
      <c r="K346">
        <v>3</v>
      </c>
      <c r="L346" s="3">
        <v>45352</v>
      </c>
    </row>
    <row r="347" spans="1:12">
      <c r="A347" t="s">
        <v>447</v>
      </c>
      <c r="B347" t="s">
        <v>443</v>
      </c>
      <c r="C347" t="s">
        <v>443</v>
      </c>
      <c r="D347" t="s">
        <v>444</v>
      </c>
      <c r="E347" s="3">
        <v>45383</v>
      </c>
      <c r="F347">
        <v>52</v>
      </c>
      <c r="G347">
        <v>49</v>
      </c>
      <c r="H347" t="s">
        <v>78</v>
      </c>
      <c r="I347" t="s">
        <v>68</v>
      </c>
      <c r="J347">
        <v>2024</v>
      </c>
      <c r="K347">
        <v>4</v>
      </c>
      <c r="L347" s="3">
        <v>45383</v>
      </c>
    </row>
    <row r="348" spans="1:12">
      <c r="A348" t="s">
        <v>448</v>
      </c>
      <c r="B348" t="s">
        <v>443</v>
      </c>
      <c r="C348" t="s">
        <v>443</v>
      </c>
      <c r="D348" t="s">
        <v>444</v>
      </c>
      <c r="E348" s="3">
        <v>45413</v>
      </c>
      <c r="F348">
        <v>67</v>
      </c>
      <c r="G348">
        <v>64</v>
      </c>
      <c r="H348" t="s">
        <v>71</v>
      </c>
      <c r="I348" t="s">
        <v>68</v>
      </c>
      <c r="J348">
        <v>2024</v>
      </c>
      <c r="K348">
        <v>5</v>
      </c>
      <c r="L348" s="3">
        <v>45413</v>
      </c>
    </row>
    <row r="349" spans="1:12">
      <c r="A349" t="s">
        <v>449</v>
      </c>
      <c r="B349" t="s">
        <v>443</v>
      </c>
      <c r="C349" t="s">
        <v>443</v>
      </c>
      <c r="D349" t="s">
        <v>444</v>
      </c>
      <c r="E349" s="3">
        <v>45444</v>
      </c>
      <c r="F349">
        <v>44</v>
      </c>
      <c r="G349">
        <v>39</v>
      </c>
      <c r="H349" t="s">
        <v>78</v>
      </c>
      <c r="I349" t="s">
        <v>68</v>
      </c>
      <c r="J349">
        <v>2024</v>
      </c>
      <c r="K349">
        <v>6</v>
      </c>
      <c r="L349" s="3">
        <v>45444</v>
      </c>
    </row>
    <row r="350" spans="1:12">
      <c r="A350" t="s">
        <v>450</v>
      </c>
      <c r="B350" t="s">
        <v>443</v>
      </c>
      <c r="C350" t="s">
        <v>443</v>
      </c>
      <c r="D350" t="s">
        <v>444</v>
      </c>
      <c r="E350" s="3">
        <v>45474</v>
      </c>
      <c r="F350">
        <v>32</v>
      </c>
      <c r="G350">
        <v>30</v>
      </c>
      <c r="H350" t="s">
        <v>78</v>
      </c>
      <c r="I350" t="s">
        <v>68</v>
      </c>
      <c r="J350">
        <v>2024</v>
      </c>
      <c r="K350">
        <v>7</v>
      </c>
      <c r="L350" s="3">
        <v>45474</v>
      </c>
    </row>
    <row r="351" spans="1:12">
      <c r="A351" t="s">
        <v>451</v>
      </c>
      <c r="B351" t="s">
        <v>443</v>
      </c>
      <c r="C351" t="s">
        <v>443</v>
      </c>
      <c r="D351" t="s">
        <v>444</v>
      </c>
      <c r="E351" s="3">
        <v>45505</v>
      </c>
      <c r="F351">
        <v>51</v>
      </c>
      <c r="G351">
        <v>48</v>
      </c>
      <c r="H351" t="s">
        <v>73</v>
      </c>
      <c r="I351" t="s">
        <v>68</v>
      </c>
      <c r="J351">
        <v>2024</v>
      </c>
      <c r="K351">
        <v>8</v>
      </c>
      <c r="L351" s="3">
        <v>45505</v>
      </c>
    </row>
    <row r="352" spans="1:12">
      <c r="A352" t="s">
        <v>452</v>
      </c>
      <c r="B352" t="s">
        <v>443</v>
      </c>
      <c r="C352" t="s">
        <v>443</v>
      </c>
      <c r="D352" t="s">
        <v>444</v>
      </c>
      <c r="E352" s="3">
        <v>45536</v>
      </c>
      <c r="F352">
        <v>56</v>
      </c>
      <c r="G352">
        <v>59</v>
      </c>
      <c r="H352" t="s">
        <v>71</v>
      </c>
      <c r="I352" t="s">
        <v>68</v>
      </c>
      <c r="J352">
        <v>2024</v>
      </c>
      <c r="K352">
        <v>9</v>
      </c>
      <c r="L352" s="3">
        <v>45536</v>
      </c>
    </row>
    <row r="353" spans="1:12">
      <c r="A353" t="s">
        <v>453</v>
      </c>
      <c r="B353" t="s">
        <v>443</v>
      </c>
      <c r="C353" t="s">
        <v>443</v>
      </c>
      <c r="D353" t="s">
        <v>444</v>
      </c>
      <c r="E353" s="3">
        <v>45566</v>
      </c>
      <c r="F353">
        <v>55</v>
      </c>
      <c r="G353">
        <v>55</v>
      </c>
      <c r="H353" t="s">
        <v>71</v>
      </c>
      <c r="I353" t="s">
        <v>68</v>
      </c>
      <c r="J353">
        <v>2024</v>
      </c>
      <c r="K353">
        <v>10</v>
      </c>
      <c r="L353" s="3">
        <v>45566</v>
      </c>
    </row>
    <row r="354" spans="1:12">
      <c r="A354" t="s">
        <v>454</v>
      </c>
      <c r="B354" t="s">
        <v>443</v>
      </c>
      <c r="C354" t="s">
        <v>443</v>
      </c>
      <c r="D354" t="s">
        <v>444</v>
      </c>
      <c r="E354" s="3">
        <v>45597</v>
      </c>
      <c r="F354">
        <v>47</v>
      </c>
      <c r="G354">
        <v>49</v>
      </c>
      <c r="H354" t="s">
        <v>67</v>
      </c>
      <c r="I354" t="s">
        <v>68</v>
      </c>
      <c r="J354">
        <v>2024</v>
      </c>
      <c r="K354">
        <v>11</v>
      </c>
      <c r="L354" s="3">
        <v>45597</v>
      </c>
    </row>
    <row r="355" spans="1:12">
      <c r="A355" t="s">
        <v>455</v>
      </c>
      <c r="B355" t="s">
        <v>443</v>
      </c>
      <c r="C355" t="s">
        <v>443</v>
      </c>
      <c r="D355" t="s">
        <v>444</v>
      </c>
      <c r="E355" s="3">
        <v>45627</v>
      </c>
      <c r="F355">
        <v>47</v>
      </c>
      <c r="G355">
        <v>52</v>
      </c>
      <c r="H355" t="s">
        <v>78</v>
      </c>
      <c r="I355" t="s">
        <v>68</v>
      </c>
      <c r="J355">
        <v>2024</v>
      </c>
      <c r="K355">
        <v>12</v>
      </c>
      <c r="L355" s="3">
        <v>45627</v>
      </c>
    </row>
    <row r="356" spans="1:12">
      <c r="A356" t="s">
        <v>456</v>
      </c>
      <c r="B356" t="s">
        <v>443</v>
      </c>
      <c r="C356" t="s">
        <v>443</v>
      </c>
      <c r="D356" t="s">
        <v>444</v>
      </c>
      <c r="E356" s="3">
        <v>45658</v>
      </c>
      <c r="F356">
        <v>32</v>
      </c>
      <c r="G356">
        <v>34</v>
      </c>
      <c r="H356" t="s">
        <v>71</v>
      </c>
      <c r="I356" t="s">
        <v>68</v>
      </c>
      <c r="J356">
        <v>2025</v>
      </c>
      <c r="K356">
        <v>1</v>
      </c>
      <c r="L356" s="3">
        <v>45658</v>
      </c>
    </row>
    <row r="357" spans="1:12">
      <c r="A357" t="s">
        <v>457</v>
      </c>
      <c r="B357" t="s">
        <v>443</v>
      </c>
      <c r="C357" t="s">
        <v>443</v>
      </c>
      <c r="D357" t="s">
        <v>444</v>
      </c>
      <c r="E357" s="3">
        <v>45689</v>
      </c>
      <c r="F357">
        <v>42</v>
      </c>
      <c r="G357">
        <v>43</v>
      </c>
      <c r="H357" t="s">
        <v>73</v>
      </c>
      <c r="I357" t="s">
        <v>68</v>
      </c>
      <c r="J357">
        <v>2025</v>
      </c>
      <c r="K357">
        <v>2</v>
      </c>
      <c r="L357" s="3">
        <v>45689</v>
      </c>
    </row>
    <row r="358" spans="1:12">
      <c r="A358" t="s">
        <v>458</v>
      </c>
      <c r="B358" t="s">
        <v>443</v>
      </c>
      <c r="C358" t="s">
        <v>443</v>
      </c>
      <c r="D358" t="s">
        <v>444</v>
      </c>
      <c r="E358" s="3">
        <v>45717</v>
      </c>
      <c r="F358">
        <v>59</v>
      </c>
      <c r="G358">
        <v>64</v>
      </c>
      <c r="H358" t="s">
        <v>71</v>
      </c>
      <c r="I358" t="s">
        <v>68</v>
      </c>
      <c r="J358">
        <v>2025</v>
      </c>
      <c r="K358">
        <v>3</v>
      </c>
      <c r="L358" s="3">
        <v>45717</v>
      </c>
    </row>
    <row r="359" spans="1:12">
      <c r="A359" t="s">
        <v>459</v>
      </c>
      <c r="B359" t="s">
        <v>443</v>
      </c>
      <c r="C359" t="s">
        <v>443</v>
      </c>
      <c r="D359" t="s">
        <v>444</v>
      </c>
      <c r="E359" s="3">
        <v>45748</v>
      </c>
      <c r="F359">
        <v>38</v>
      </c>
      <c r="G359">
        <v>34</v>
      </c>
      <c r="H359" t="s">
        <v>71</v>
      </c>
      <c r="I359" t="s">
        <v>68</v>
      </c>
      <c r="J359">
        <v>2025</v>
      </c>
      <c r="K359">
        <v>4</v>
      </c>
      <c r="L359" s="3">
        <v>45748</v>
      </c>
    </row>
    <row r="360" spans="1:12">
      <c r="A360" t="s">
        <v>460</v>
      </c>
      <c r="B360" t="s">
        <v>443</v>
      </c>
      <c r="C360" t="s">
        <v>443</v>
      </c>
      <c r="D360" t="s">
        <v>444</v>
      </c>
      <c r="E360" s="3">
        <v>45778</v>
      </c>
      <c r="F360">
        <v>46</v>
      </c>
      <c r="G360">
        <v>46</v>
      </c>
      <c r="H360" t="s">
        <v>67</v>
      </c>
      <c r="I360" t="s">
        <v>68</v>
      </c>
      <c r="J360">
        <v>2025</v>
      </c>
      <c r="K360">
        <v>5</v>
      </c>
      <c r="L360" s="3">
        <v>45778</v>
      </c>
    </row>
    <row r="361" spans="1:12">
      <c r="A361" t="s">
        <v>461</v>
      </c>
      <c r="B361" t="s">
        <v>443</v>
      </c>
      <c r="C361" t="s">
        <v>443</v>
      </c>
      <c r="D361" t="s">
        <v>444</v>
      </c>
      <c r="E361" s="3">
        <v>45809</v>
      </c>
      <c r="F361">
        <v>50</v>
      </c>
      <c r="G361">
        <v>55</v>
      </c>
      <c r="H361" t="s">
        <v>78</v>
      </c>
      <c r="I361" t="s">
        <v>68</v>
      </c>
      <c r="J361">
        <v>2025</v>
      </c>
      <c r="K361">
        <v>6</v>
      </c>
      <c r="L361" s="3">
        <v>45809</v>
      </c>
    </row>
    <row r="362" spans="1:12">
      <c r="A362" t="s">
        <v>462</v>
      </c>
      <c r="B362" t="s">
        <v>463</v>
      </c>
      <c r="C362" t="s">
        <v>463</v>
      </c>
      <c r="D362" t="s">
        <v>464</v>
      </c>
      <c r="E362" s="3">
        <v>45292</v>
      </c>
      <c r="F362">
        <v>15</v>
      </c>
      <c r="G362">
        <v>16</v>
      </c>
      <c r="H362" t="s">
        <v>78</v>
      </c>
      <c r="I362" t="s">
        <v>68</v>
      </c>
      <c r="J362">
        <v>2024</v>
      </c>
      <c r="K362">
        <v>1</v>
      </c>
      <c r="L362" s="3">
        <v>45292</v>
      </c>
    </row>
    <row r="363" spans="1:12">
      <c r="A363" t="s">
        <v>465</v>
      </c>
      <c r="B363" t="s">
        <v>463</v>
      </c>
      <c r="C363" t="s">
        <v>463</v>
      </c>
      <c r="D363" t="s">
        <v>464</v>
      </c>
      <c r="E363" s="3">
        <v>45323</v>
      </c>
      <c r="F363">
        <v>11</v>
      </c>
      <c r="G363">
        <v>7</v>
      </c>
      <c r="H363" t="s">
        <v>71</v>
      </c>
      <c r="I363" t="s">
        <v>68</v>
      </c>
      <c r="J363">
        <v>2024</v>
      </c>
      <c r="K363">
        <v>2</v>
      </c>
      <c r="L363" s="3">
        <v>45323</v>
      </c>
    </row>
    <row r="364" spans="1:12">
      <c r="A364" t="s">
        <v>466</v>
      </c>
      <c r="B364" t="s">
        <v>463</v>
      </c>
      <c r="C364" t="s">
        <v>463</v>
      </c>
      <c r="D364" t="s">
        <v>464</v>
      </c>
      <c r="E364" s="3">
        <v>45352</v>
      </c>
      <c r="F364">
        <v>16</v>
      </c>
      <c r="G364">
        <v>21</v>
      </c>
      <c r="H364" t="s">
        <v>67</v>
      </c>
      <c r="I364" t="s">
        <v>68</v>
      </c>
      <c r="J364">
        <v>2024</v>
      </c>
      <c r="K364">
        <v>3</v>
      </c>
      <c r="L364" s="3">
        <v>45352</v>
      </c>
    </row>
    <row r="365" spans="1:12">
      <c r="A365" t="s">
        <v>467</v>
      </c>
      <c r="B365" t="s">
        <v>463</v>
      </c>
      <c r="C365" t="s">
        <v>463</v>
      </c>
      <c r="D365" t="s">
        <v>464</v>
      </c>
      <c r="E365" s="3">
        <v>45383</v>
      </c>
      <c r="F365">
        <v>9</v>
      </c>
      <c r="G365">
        <v>10</v>
      </c>
      <c r="H365" t="s">
        <v>78</v>
      </c>
      <c r="I365" t="s">
        <v>68</v>
      </c>
      <c r="J365">
        <v>2024</v>
      </c>
      <c r="K365">
        <v>4</v>
      </c>
      <c r="L365" s="3">
        <v>45383</v>
      </c>
    </row>
    <row r="366" spans="1:12">
      <c r="A366" t="s">
        <v>468</v>
      </c>
      <c r="B366" t="s">
        <v>463</v>
      </c>
      <c r="C366" t="s">
        <v>463</v>
      </c>
      <c r="D366" t="s">
        <v>464</v>
      </c>
      <c r="E366" s="3">
        <v>45413</v>
      </c>
      <c r="F366">
        <v>17</v>
      </c>
      <c r="G366">
        <v>19</v>
      </c>
      <c r="H366" t="s">
        <v>73</v>
      </c>
      <c r="I366" t="s">
        <v>68</v>
      </c>
      <c r="J366">
        <v>2024</v>
      </c>
      <c r="K366">
        <v>5</v>
      </c>
      <c r="L366" s="3">
        <v>45413</v>
      </c>
    </row>
    <row r="367" spans="1:12">
      <c r="A367" t="s">
        <v>469</v>
      </c>
      <c r="B367" t="s">
        <v>463</v>
      </c>
      <c r="C367" t="s">
        <v>463</v>
      </c>
      <c r="D367" t="s">
        <v>464</v>
      </c>
      <c r="E367" s="3">
        <v>45444</v>
      </c>
      <c r="F367">
        <v>13</v>
      </c>
      <c r="G367">
        <v>14</v>
      </c>
      <c r="H367" t="s">
        <v>78</v>
      </c>
      <c r="I367" t="s">
        <v>68</v>
      </c>
      <c r="J367">
        <v>2024</v>
      </c>
      <c r="K367">
        <v>6</v>
      </c>
      <c r="L367" s="3">
        <v>45444</v>
      </c>
    </row>
    <row r="368" spans="1:12">
      <c r="A368" t="s">
        <v>470</v>
      </c>
      <c r="B368" t="s">
        <v>463</v>
      </c>
      <c r="C368" t="s">
        <v>463</v>
      </c>
      <c r="D368" t="s">
        <v>464</v>
      </c>
      <c r="E368" s="3">
        <v>45474</v>
      </c>
      <c r="F368">
        <v>15</v>
      </c>
      <c r="G368">
        <v>20</v>
      </c>
      <c r="H368" t="s">
        <v>78</v>
      </c>
      <c r="I368" t="s">
        <v>68</v>
      </c>
      <c r="J368">
        <v>2024</v>
      </c>
      <c r="K368">
        <v>7</v>
      </c>
      <c r="L368" s="3">
        <v>45474</v>
      </c>
    </row>
    <row r="369" spans="1:12">
      <c r="A369" t="s">
        <v>471</v>
      </c>
      <c r="B369" t="s">
        <v>463</v>
      </c>
      <c r="C369" t="s">
        <v>463</v>
      </c>
      <c r="D369" t="s">
        <v>464</v>
      </c>
      <c r="E369" s="3">
        <v>45505</v>
      </c>
      <c r="F369">
        <v>13</v>
      </c>
      <c r="G369">
        <v>15</v>
      </c>
      <c r="H369" t="s">
        <v>71</v>
      </c>
      <c r="I369" t="s">
        <v>68</v>
      </c>
      <c r="J369">
        <v>2024</v>
      </c>
      <c r="K369">
        <v>8</v>
      </c>
      <c r="L369" s="3">
        <v>45505</v>
      </c>
    </row>
    <row r="370" spans="1:12">
      <c r="A370" t="s">
        <v>472</v>
      </c>
      <c r="B370" t="s">
        <v>463</v>
      </c>
      <c r="C370" t="s">
        <v>463</v>
      </c>
      <c r="D370" t="s">
        <v>464</v>
      </c>
      <c r="E370" s="3">
        <v>45536</v>
      </c>
      <c r="F370">
        <v>16</v>
      </c>
      <c r="G370">
        <v>12</v>
      </c>
      <c r="H370" t="s">
        <v>71</v>
      </c>
      <c r="I370" t="s">
        <v>68</v>
      </c>
      <c r="J370">
        <v>2024</v>
      </c>
      <c r="K370">
        <v>9</v>
      </c>
      <c r="L370" s="3">
        <v>45536</v>
      </c>
    </row>
    <row r="371" spans="1:12">
      <c r="A371" t="s">
        <v>473</v>
      </c>
      <c r="B371" t="s">
        <v>463</v>
      </c>
      <c r="C371" t="s">
        <v>463</v>
      </c>
      <c r="D371" t="s">
        <v>464</v>
      </c>
      <c r="E371" s="3">
        <v>45566</v>
      </c>
      <c r="F371">
        <v>16</v>
      </c>
      <c r="G371">
        <v>16</v>
      </c>
      <c r="H371" t="s">
        <v>67</v>
      </c>
      <c r="I371" t="s">
        <v>68</v>
      </c>
      <c r="J371">
        <v>2024</v>
      </c>
      <c r="K371">
        <v>10</v>
      </c>
      <c r="L371" s="3">
        <v>45566</v>
      </c>
    </row>
    <row r="372" spans="1:12">
      <c r="A372" t="s">
        <v>474</v>
      </c>
      <c r="B372" t="s">
        <v>463</v>
      </c>
      <c r="C372" t="s">
        <v>463</v>
      </c>
      <c r="D372" t="s">
        <v>464</v>
      </c>
      <c r="E372" s="3">
        <v>45597</v>
      </c>
      <c r="F372">
        <v>15</v>
      </c>
      <c r="G372">
        <v>18</v>
      </c>
      <c r="H372" t="s">
        <v>71</v>
      </c>
      <c r="I372" t="s">
        <v>68</v>
      </c>
      <c r="J372">
        <v>2024</v>
      </c>
      <c r="K372">
        <v>11</v>
      </c>
      <c r="L372" s="3">
        <v>45597</v>
      </c>
    </row>
    <row r="373" spans="1:12">
      <c r="A373" t="s">
        <v>475</v>
      </c>
      <c r="B373" t="s">
        <v>463</v>
      </c>
      <c r="C373" t="s">
        <v>463</v>
      </c>
      <c r="D373" t="s">
        <v>464</v>
      </c>
      <c r="E373" s="3">
        <v>45627</v>
      </c>
      <c r="F373">
        <v>11</v>
      </c>
      <c r="G373">
        <v>11</v>
      </c>
      <c r="H373" t="s">
        <v>71</v>
      </c>
      <c r="I373" t="s">
        <v>68</v>
      </c>
      <c r="J373">
        <v>2024</v>
      </c>
      <c r="K373">
        <v>12</v>
      </c>
      <c r="L373" s="3">
        <v>45627</v>
      </c>
    </row>
    <row r="374" spans="1:12">
      <c r="A374" t="s">
        <v>476</v>
      </c>
      <c r="B374" t="s">
        <v>463</v>
      </c>
      <c r="C374" t="s">
        <v>463</v>
      </c>
      <c r="D374" t="s">
        <v>464</v>
      </c>
      <c r="E374" s="3">
        <v>45658</v>
      </c>
      <c r="F374">
        <v>13</v>
      </c>
      <c r="G374">
        <v>14</v>
      </c>
      <c r="H374" t="s">
        <v>78</v>
      </c>
      <c r="I374" t="s">
        <v>68</v>
      </c>
      <c r="J374">
        <v>2025</v>
      </c>
      <c r="K374">
        <v>1</v>
      </c>
      <c r="L374" s="3">
        <v>45658</v>
      </c>
    </row>
    <row r="375" spans="1:12">
      <c r="A375" t="s">
        <v>477</v>
      </c>
      <c r="B375" t="s">
        <v>463</v>
      </c>
      <c r="C375" t="s">
        <v>463</v>
      </c>
      <c r="D375" t="s">
        <v>464</v>
      </c>
      <c r="E375" s="3">
        <v>45689</v>
      </c>
      <c r="F375">
        <v>20</v>
      </c>
      <c r="G375">
        <v>21</v>
      </c>
      <c r="H375" t="s">
        <v>71</v>
      </c>
      <c r="I375" t="s">
        <v>68</v>
      </c>
      <c r="J375">
        <v>2025</v>
      </c>
      <c r="K375">
        <v>2</v>
      </c>
      <c r="L375" s="3">
        <v>45689</v>
      </c>
    </row>
    <row r="376" spans="1:12">
      <c r="A376" t="s">
        <v>478</v>
      </c>
      <c r="B376" t="s">
        <v>463</v>
      </c>
      <c r="C376" t="s">
        <v>463</v>
      </c>
      <c r="D376" t="s">
        <v>464</v>
      </c>
      <c r="E376" s="3">
        <v>45717</v>
      </c>
      <c r="F376">
        <v>9</v>
      </c>
      <c r="G376">
        <v>8</v>
      </c>
      <c r="H376" t="s">
        <v>78</v>
      </c>
      <c r="I376" t="s">
        <v>68</v>
      </c>
      <c r="J376">
        <v>2025</v>
      </c>
      <c r="K376">
        <v>3</v>
      </c>
      <c r="L376" s="3">
        <v>45717</v>
      </c>
    </row>
    <row r="377" spans="1:12">
      <c r="A377" t="s">
        <v>479</v>
      </c>
      <c r="B377" t="s">
        <v>463</v>
      </c>
      <c r="C377" t="s">
        <v>463</v>
      </c>
      <c r="D377" t="s">
        <v>464</v>
      </c>
      <c r="E377" s="3">
        <v>45748</v>
      </c>
      <c r="F377">
        <v>12</v>
      </c>
      <c r="G377">
        <v>10</v>
      </c>
      <c r="H377" t="s">
        <v>67</v>
      </c>
      <c r="I377" t="s">
        <v>68</v>
      </c>
      <c r="J377">
        <v>2025</v>
      </c>
      <c r="K377">
        <v>4</v>
      </c>
      <c r="L377" s="3">
        <v>45748</v>
      </c>
    </row>
    <row r="378" spans="1:12">
      <c r="A378" t="s">
        <v>480</v>
      </c>
      <c r="B378" t="s">
        <v>463</v>
      </c>
      <c r="C378" t="s">
        <v>463</v>
      </c>
      <c r="D378" t="s">
        <v>464</v>
      </c>
      <c r="E378" s="3">
        <v>45778</v>
      </c>
      <c r="F378">
        <v>18</v>
      </c>
      <c r="G378">
        <v>23</v>
      </c>
      <c r="H378" t="s">
        <v>73</v>
      </c>
      <c r="I378" t="s">
        <v>68</v>
      </c>
      <c r="J378">
        <v>2025</v>
      </c>
      <c r="K378">
        <v>5</v>
      </c>
      <c r="L378" s="3">
        <v>45778</v>
      </c>
    </row>
    <row r="379" spans="1:12">
      <c r="A379" t="s">
        <v>481</v>
      </c>
      <c r="B379" t="s">
        <v>463</v>
      </c>
      <c r="C379" t="s">
        <v>463</v>
      </c>
      <c r="D379" t="s">
        <v>464</v>
      </c>
      <c r="E379" s="3">
        <v>45809</v>
      </c>
      <c r="F379">
        <v>15</v>
      </c>
      <c r="G379">
        <v>18</v>
      </c>
      <c r="H379" t="s">
        <v>78</v>
      </c>
      <c r="I379" t="s">
        <v>68</v>
      </c>
      <c r="J379">
        <v>2025</v>
      </c>
      <c r="K379">
        <v>6</v>
      </c>
      <c r="L379" s="3">
        <v>45809</v>
      </c>
    </row>
    <row r="380" spans="1:12">
      <c r="A380" t="s">
        <v>482</v>
      </c>
      <c r="B380" t="s">
        <v>483</v>
      </c>
      <c r="C380" t="s">
        <v>483</v>
      </c>
      <c r="D380" t="s">
        <v>484</v>
      </c>
      <c r="E380" s="3">
        <v>45292</v>
      </c>
      <c r="F380">
        <v>0</v>
      </c>
      <c r="G380">
        <v>0</v>
      </c>
      <c r="H380" t="s">
        <v>67</v>
      </c>
      <c r="I380" t="s">
        <v>68</v>
      </c>
      <c r="J380">
        <v>2024</v>
      </c>
      <c r="K380">
        <v>1</v>
      </c>
      <c r="L380" s="3">
        <v>45292</v>
      </c>
    </row>
    <row r="381" spans="1:12">
      <c r="A381" t="s">
        <v>485</v>
      </c>
      <c r="B381" t="s">
        <v>483</v>
      </c>
      <c r="C381" t="s">
        <v>483</v>
      </c>
      <c r="D381" t="s">
        <v>484</v>
      </c>
      <c r="E381" s="3">
        <v>45323</v>
      </c>
      <c r="F381">
        <v>4</v>
      </c>
      <c r="G381">
        <v>7</v>
      </c>
      <c r="H381" t="s">
        <v>71</v>
      </c>
      <c r="I381" t="s">
        <v>68</v>
      </c>
      <c r="J381">
        <v>2024</v>
      </c>
      <c r="K381">
        <v>2</v>
      </c>
      <c r="L381" s="3">
        <v>45323</v>
      </c>
    </row>
    <row r="382" spans="1:12">
      <c r="A382" t="s">
        <v>486</v>
      </c>
      <c r="B382" t="s">
        <v>483</v>
      </c>
      <c r="C382" t="s">
        <v>483</v>
      </c>
      <c r="D382" t="s">
        <v>484</v>
      </c>
      <c r="E382" s="3">
        <v>45352</v>
      </c>
      <c r="F382">
        <v>2</v>
      </c>
      <c r="G382">
        <v>0</v>
      </c>
      <c r="H382" t="s">
        <v>67</v>
      </c>
      <c r="I382" t="s">
        <v>68</v>
      </c>
      <c r="J382">
        <v>2024</v>
      </c>
      <c r="K382">
        <v>3</v>
      </c>
      <c r="L382" s="3">
        <v>45352</v>
      </c>
    </row>
    <row r="383" spans="1:12">
      <c r="A383" t="s">
        <v>487</v>
      </c>
      <c r="B383" t="s">
        <v>483</v>
      </c>
      <c r="C383" t="s">
        <v>483</v>
      </c>
      <c r="D383" t="s">
        <v>484</v>
      </c>
      <c r="E383" s="3">
        <v>45383</v>
      </c>
      <c r="F383">
        <v>0</v>
      </c>
      <c r="G383">
        <v>0</v>
      </c>
      <c r="H383" t="s">
        <v>78</v>
      </c>
      <c r="I383" t="s">
        <v>68</v>
      </c>
      <c r="J383">
        <v>2024</v>
      </c>
      <c r="K383">
        <v>4</v>
      </c>
      <c r="L383" s="3">
        <v>45383</v>
      </c>
    </row>
    <row r="384" spans="1:12">
      <c r="A384" t="s">
        <v>488</v>
      </c>
      <c r="B384" t="s">
        <v>483</v>
      </c>
      <c r="C384" t="s">
        <v>483</v>
      </c>
      <c r="D384" t="s">
        <v>484</v>
      </c>
      <c r="E384" s="3">
        <v>45413</v>
      </c>
      <c r="F384">
        <v>1</v>
      </c>
      <c r="G384">
        <v>0</v>
      </c>
      <c r="H384" t="s">
        <v>67</v>
      </c>
      <c r="I384" t="s">
        <v>68</v>
      </c>
      <c r="J384">
        <v>2024</v>
      </c>
      <c r="K384">
        <v>5</v>
      </c>
      <c r="L384" s="3">
        <v>45413</v>
      </c>
    </row>
    <row r="385" spans="1:12">
      <c r="A385" t="s">
        <v>489</v>
      </c>
      <c r="B385" t="s">
        <v>483</v>
      </c>
      <c r="C385" t="s">
        <v>483</v>
      </c>
      <c r="D385" t="s">
        <v>484</v>
      </c>
      <c r="E385" s="3">
        <v>45444</v>
      </c>
      <c r="F385">
        <v>3</v>
      </c>
      <c r="G385">
        <v>8</v>
      </c>
      <c r="H385" t="s">
        <v>71</v>
      </c>
      <c r="I385" t="s">
        <v>68</v>
      </c>
      <c r="J385">
        <v>2024</v>
      </c>
      <c r="K385">
        <v>6</v>
      </c>
      <c r="L385" s="3">
        <v>45444</v>
      </c>
    </row>
    <row r="386" spans="1:12">
      <c r="A386" t="s">
        <v>490</v>
      </c>
      <c r="B386" t="s">
        <v>483</v>
      </c>
      <c r="C386" t="s">
        <v>483</v>
      </c>
      <c r="D386" t="s">
        <v>484</v>
      </c>
      <c r="E386" s="3">
        <v>45474</v>
      </c>
      <c r="F386">
        <v>0</v>
      </c>
      <c r="G386">
        <v>3</v>
      </c>
      <c r="H386" t="s">
        <v>67</v>
      </c>
      <c r="I386" t="s">
        <v>68</v>
      </c>
      <c r="J386">
        <v>2024</v>
      </c>
      <c r="K386">
        <v>7</v>
      </c>
      <c r="L386" s="3">
        <v>45474</v>
      </c>
    </row>
    <row r="387" spans="1:12">
      <c r="A387" t="s">
        <v>491</v>
      </c>
      <c r="B387" t="s">
        <v>483</v>
      </c>
      <c r="C387" t="s">
        <v>483</v>
      </c>
      <c r="D387" t="s">
        <v>484</v>
      </c>
      <c r="E387" s="3">
        <v>45505</v>
      </c>
      <c r="F387">
        <v>4</v>
      </c>
      <c r="G387">
        <v>6</v>
      </c>
      <c r="H387" t="s">
        <v>78</v>
      </c>
      <c r="I387" t="s">
        <v>68</v>
      </c>
      <c r="J387">
        <v>2024</v>
      </c>
      <c r="K387">
        <v>8</v>
      </c>
      <c r="L387" s="3">
        <v>45505</v>
      </c>
    </row>
    <row r="388" spans="1:12">
      <c r="A388" t="s">
        <v>492</v>
      </c>
      <c r="B388" t="s">
        <v>483</v>
      </c>
      <c r="C388" t="s">
        <v>483</v>
      </c>
      <c r="D388" t="s">
        <v>484</v>
      </c>
      <c r="E388" s="3">
        <v>45536</v>
      </c>
      <c r="F388">
        <v>0</v>
      </c>
      <c r="G388">
        <v>0</v>
      </c>
      <c r="H388" t="s">
        <v>78</v>
      </c>
      <c r="I388" t="s">
        <v>68</v>
      </c>
      <c r="J388">
        <v>2024</v>
      </c>
      <c r="K388">
        <v>9</v>
      </c>
      <c r="L388" s="3">
        <v>45536</v>
      </c>
    </row>
    <row r="389" spans="1:12">
      <c r="A389" t="s">
        <v>493</v>
      </c>
      <c r="B389" t="s">
        <v>483</v>
      </c>
      <c r="C389" t="s">
        <v>483</v>
      </c>
      <c r="D389" t="s">
        <v>484</v>
      </c>
      <c r="E389" s="3">
        <v>45566</v>
      </c>
      <c r="F389">
        <v>3</v>
      </c>
      <c r="G389">
        <v>0</v>
      </c>
      <c r="H389" t="s">
        <v>67</v>
      </c>
      <c r="I389" t="s">
        <v>68</v>
      </c>
      <c r="J389">
        <v>2024</v>
      </c>
      <c r="K389">
        <v>10</v>
      </c>
      <c r="L389" s="3">
        <v>45566</v>
      </c>
    </row>
    <row r="390" spans="1:12">
      <c r="A390" t="s">
        <v>494</v>
      </c>
      <c r="B390" t="s">
        <v>483</v>
      </c>
      <c r="C390" t="s">
        <v>483</v>
      </c>
      <c r="D390" t="s">
        <v>484</v>
      </c>
      <c r="E390" s="3">
        <v>45597</v>
      </c>
      <c r="F390">
        <v>0</v>
      </c>
      <c r="G390">
        <v>4</v>
      </c>
      <c r="H390" t="s">
        <v>71</v>
      </c>
      <c r="I390" t="s">
        <v>68</v>
      </c>
      <c r="J390">
        <v>2024</v>
      </c>
      <c r="K390">
        <v>11</v>
      </c>
      <c r="L390" s="3">
        <v>45597</v>
      </c>
    </row>
    <row r="391" spans="1:12">
      <c r="A391" t="s">
        <v>495</v>
      </c>
      <c r="B391" t="s">
        <v>483</v>
      </c>
      <c r="C391" t="s">
        <v>483</v>
      </c>
      <c r="D391" t="s">
        <v>484</v>
      </c>
      <c r="E391" s="3">
        <v>45627</v>
      </c>
      <c r="F391">
        <v>3</v>
      </c>
      <c r="G391">
        <v>2</v>
      </c>
      <c r="H391" t="s">
        <v>73</v>
      </c>
      <c r="I391" t="s">
        <v>68</v>
      </c>
      <c r="J391">
        <v>2024</v>
      </c>
      <c r="K391">
        <v>12</v>
      </c>
      <c r="L391" s="3">
        <v>45627</v>
      </c>
    </row>
    <row r="392" spans="1:12">
      <c r="A392" t="s">
        <v>496</v>
      </c>
      <c r="B392" t="s">
        <v>483</v>
      </c>
      <c r="C392" t="s">
        <v>483</v>
      </c>
      <c r="D392" t="s">
        <v>484</v>
      </c>
      <c r="E392" s="3">
        <v>45658</v>
      </c>
      <c r="F392">
        <v>1</v>
      </c>
      <c r="G392">
        <v>0</v>
      </c>
      <c r="H392" t="s">
        <v>67</v>
      </c>
      <c r="I392" t="s">
        <v>68</v>
      </c>
      <c r="J392">
        <v>2025</v>
      </c>
      <c r="K392">
        <v>1</v>
      </c>
      <c r="L392" s="3">
        <v>45658</v>
      </c>
    </row>
    <row r="393" spans="1:12">
      <c r="A393" t="s">
        <v>497</v>
      </c>
      <c r="B393" t="s">
        <v>483</v>
      </c>
      <c r="C393" t="s">
        <v>483</v>
      </c>
      <c r="D393" t="s">
        <v>484</v>
      </c>
      <c r="E393" s="3">
        <v>45689</v>
      </c>
      <c r="F393">
        <v>4</v>
      </c>
      <c r="G393">
        <v>0</v>
      </c>
      <c r="H393" t="s">
        <v>78</v>
      </c>
      <c r="I393" t="s">
        <v>68</v>
      </c>
      <c r="J393">
        <v>2025</v>
      </c>
      <c r="K393">
        <v>2</v>
      </c>
      <c r="L393" s="3">
        <v>45689</v>
      </c>
    </row>
    <row r="394" spans="1:12">
      <c r="A394" t="s">
        <v>498</v>
      </c>
      <c r="B394" t="s">
        <v>483</v>
      </c>
      <c r="C394" t="s">
        <v>483</v>
      </c>
      <c r="D394" t="s">
        <v>484</v>
      </c>
      <c r="E394" s="3">
        <v>45717</v>
      </c>
      <c r="F394">
        <v>3</v>
      </c>
      <c r="G394">
        <v>5</v>
      </c>
      <c r="H394" t="s">
        <v>78</v>
      </c>
      <c r="I394" t="s">
        <v>68</v>
      </c>
      <c r="J394">
        <v>2025</v>
      </c>
      <c r="K394">
        <v>3</v>
      </c>
      <c r="L394" s="3">
        <v>45717</v>
      </c>
    </row>
    <row r="395" spans="1:12">
      <c r="A395" t="s">
        <v>499</v>
      </c>
      <c r="B395" t="s">
        <v>483</v>
      </c>
      <c r="C395" t="s">
        <v>483</v>
      </c>
      <c r="D395" t="s">
        <v>484</v>
      </c>
      <c r="E395" s="3">
        <v>45748</v>
      </c>
      <c r="F395">
        <v>0</v>
      </c>
      <c r="G395">
        <v>1</v>
      </c>
      <c r="H395" t="s">
        <v>71</v>
      </c>
      <c r="I395" t="s">
        <v>68</v>
      </c>
      <c r="J395">
        <v>2025</v>
      </c>
      <c r="K395">
        <v>4</v>
      </c>
      <c r="L395" s="3">
        <v>45748</v>
      </c>
    </row>
    <row r="396" spans="1:12">
      <c r="A396" t="s">
        <v>500</v>
      </c>
      <c r="B396" t="s">
        <v>483</v>
      </c>
      <c r="C396" t="s">
        <v>483</v>
      </c>
      <c r="D396" t="s">
        <v>484</v>
      </c>
      <c r="E396" s="3">
        <v>45778</v>
      </c>
      <c r="F396">
        <v>0</v>
      </c>
      <c r="G396">
        <v>0</v>
      </c>
      <c r="H396" t="s">
        <v>67</v>
      </c>
      <c r="I396" t="s">
        <v>68</v>
      </c>
      <c r="J396">
        <v>2025</v>
      </c>
      <c r="K396">
        <v>5</v>
      </c>
      <c r="L396" s="3">
        <v>45778</v>
      </c>
    </row>
    <row r="397" spans="1:12">
      <c r="A397" t="s">
        <v>501</v>
      </c>
      <c r="B397" t="s">
        <v>483</v>
      </c>
      <c r="C397" t="s">
        <v>483</v>
      </c>
      <c r="D397" t="s">
        <v>484</v>
      </c>
      <c r="E397" s="3">
        <v>45809</v>
      </c>
      <c r="F397">
        <v>6</v>
      </c>
      <c r="G397">
        <v>5</v>
      </c>
      <c r="H397" t="s">
        <v>78</v>
      </c>
      <c r="I397" t="s">
        <v>68</v>
      </c>
      <c r="J397">
        <v>2025</v>
      </c>
      <c r="K397">
        <v>6</v>
      </c>
      <c r="L397" s="3">
        <v>45809</v>
      </c>
    </row>
    <row r="398" spans="1:12">
      <c r="A398" t="s">
        <v>502</v>
      </c>
      <c r="B398" t="s">
        <v>503</v>
      </c>
      <c r="C398" t="s">
        <v>503</v>
      </c>
      <c r="D398" t="s">
        <v>504</v>
      </c>
      <c r="E398" s="3">
        <v>45292</v>
      </c>
      <c r="F398">
        <v>11</v>
      </c>
      <c r="G398">
        <v>8</v>
      </c>
      <c r="H398" t="s">
        <v>67</v>
      </c>
      <c r="I398" t="s">
        <v>68</v>
      </c>
      <c r="J398">
        <v>2024</v>
      </c>
      <c r="K398">
        <v>1</v>
      </c>
      <c r="L398" s="3">
        <v>45292</v>
      </c>
    </row>
    <row r="399" spans="1:12">
      <c r="A399" t="s">
        <v>505</v>
      </c>
      <c r="B399" t="s">
        <v>503</v>
      </c>
      <c r="C399" t="s">
        <v>503</v>
      </c>
      <c r="D399" t="s">
        <v>504</v>
      </c>
      <c r="E399" s="3">
        <v>45323</v>
      </c>
      <c r="F399">
        <v>12</v>
      </c>
      <c r="G399">
        <v>10</v>
      </c>
      <c r="H399" t="s">
        <v>78</v>
      </c>
      <c r="I399" t="s">
        <v>68</v>
      </c>
      <c r="J399">
        <v>2024</v>
      </c>
      <c r="K399">
        <v>2</v>
      </c>
      <c r="L399" s="3">
        <v>45323</v>
      </c>
    </row>
    <row r="400" spans="1:12">
      <c r="A400" t="s">
        <v>506</v>
      </c>
      <c r="B400" t="s">
        <v>503</v>
      </c>
      <c r="C400" t="s">
        <v>503</v>
      </c>
      <c r="D400" t="s">
        <v>504</v>
      </c>
      <c r="E400" s="3">
        <v>45352</v>
      </c>
      <c r="F400">
        <v>50</v>
      </c>
      <c r="G400">
        <v>52</v>
      </c>
      <c r="H400" t="s">
        <v>71</v>
      </c>
      <c r="I400" t="s">
        <v>68</v>
      </c>
      <c r="J400">
        <v>2024</v>
      </c>
      <c r="K400">
        <v>3</v>
      </c>
      <c r="L400" s="3">
        <v>45352</v>
      </c>
    </row>
    <row r="401" spans="1:12">
      <c r="A401" t="s">
        <v>507</v>
      </c>
      <c r="B401" t="s">
        <v>503</v>
      </c>
      <c r="C401" t="s">
        <v>503</v>
      </c>
      <c r="D401" t="s">
        <v>504</v>
      </c>
      <c r="E401" s="3">
        <v>45383</v>
      </c>
      <c r="F401">
        <v>18</v>
      </c>
      <c r="G401">
        <v>22</v>
      </c>
      <c r="H401" t="s">
        <v>73</v>
      </c>
      <c r="I401" t="s">
        <v>68</v>
      </c>
      <c r="J401">
        <v>2024</v>
      </c>
      <c r="K401">
        <v>4</v>
      </c>
      <c r="L401" s="3">
        <v>45383</v>
      </c>
    </row>
    <row r="402" spans="1:12">
      <c r="A402" t="s">
        <v>508</v>
      </c>
      <c r="B402" t="s">
        <v>503</v>
      </c>
      <c r="C402" t="s">
        <v>503</v>
      </c>
      <c r="D402" t="s">
        <v>504</v>
      </c>
      <c r="E402" s="3">
        <v>45413</v>
      </c>
      <c r="F402">
        <v>1</v>
      </c>
      <c r="G402">
        <v>0</v>
      </c>
      <c r="H402" t="s">
        <v>73</v>
      </c>
      <c r="I402" t="s">
        <v>68</v>
      </c>
      <c r="J402">
        <v>2024</v>
      </c>
      <c r="K402">
        <v>5</v>
      </c>
      <c r="L402" s="3">
        <v>45413</v>
      </c>
    </row>
    <row r="403" spans="1:12">
      <c r="A403" t="s">
        <v>509</v>
      </c>
      <c r="B403" t="s">
        <v>503</v>
      </c>
      <c r="C403" t="s">
        <v>503</v>
      </c>
      <c r="D403" t="s">
        <v>504</v>
      </c>
      <c r="E403" s="3">
        <v>45444</v>
      </c>
      <c r="F403">
        <v>18</v>
      </c>
      <c r="G403">
        <v>15</v>
      </c>
      <c r="H403" t="s">
        <v>73</v>
      </c>
      <c r="I403" t="s">
        <v>68</v>
      </c>
      <c r="J403">
        <v>2024</v>
      </c>
      <c r="K403">
        <v>6</v>
      </c>
      <c r="L403" s="3">
        <v>45444</v>
      </c>
    </row>
    <row r="404" spans="1:12">
      <c r="A404" t="s">
        <v>510</v>
      </c>
      <c r="B404" t="s">
        <v>503</v>
      </c>
      <c r="C404" t="s">
        <v>503</v>
      </c>
      <c r="D404" t="s">
        <v>504</v>
      </c>
      <c r="E404" s="3">
        <v>45474</v>
      </c>
      <c r="F404">
        <v>40</v>
      </c>
      <c r="G404">
        <v>38</v>
      </c>
      <c r="H404" t="s">
        <v>73</v>
      </c>
      <c r="I404" t="s">
        <v>68</v>
      </c>
      <c r="J404">
        <v>2024</v>
      </c>
      <c r="K404">
        <v>7</v>
      </c>
      <c r="L404" s="3">
        <v>45474</v>
      </c>
    </row>
    <row r="405" spans="1:12">
      <c r="A405" t="s">
        <v>511</v>
      </c>
      <c r="B405" t="s">
        <v>503</v>
      </c>
      <c r="C405" t="s">
        <v>503</v>
      </c>
      <c r="D405" t="s">
        <v>504</v>
      </c>
      <c r="E405" s="3">
        <v>45505</v>
      </c>
      <c r="F405">
        <v>0</v>
      </c>
      <c r="G405">
        <v>3</v>
      </c>
      <c r="H405" t="s">
        <v>71</v>
      </c>
      <c r="I405" t="s">
        <v>68</v>
      </c>
      <c r="J405">
        <v>2024</v>
      </c>
      <c r="K405">
        <v>8</v>
      </c>
      <c r="L405" s="3">
        <v>45505</v>
      </c>
    </row>
    <row r="406" spans="1:12">
      <c r="A406" t="s">
        <v>512</v>
      </c>
      <c r="B406" t="s">
        <v>503</v>
      </c>
      <c r="C406" t="s">
        <v>503</v>
      </c>
      <c r="D406" t="s">
        <v>504</v>
      </c>
      <c r="E406" s="3">
        <v>45536</v>
      </c>
      <c r="F406">
        <v>6</v>
      </c>
      <c r="G406">
        <v>6</v>
      </c>
      <c r="H406" t="s">
        <v>67</v>
      </c>
      <c r="I406" t="s">
        <v>68</v>
      </c>
      <c r="J406">
        <v>2024</v>
      </c>
      <c r="K406">
        <v>9</v>
      </c>
      <c r="L406" s="3">
        <v>45536</v>
      </c>
    </row>
    <row r="407" spans="1:12">
      <c r="A407" t="s">
        <v>513</v>
      </c>
      <c r="B407" t="s">
        <v>503</v>
      </c>
      <c r="C407" t="s">
        <v>503</v>
      </c>
      <c r="D407" t="s">
        <v>504</v>
      </c>
      <c r="E407" s="3">
        <v>45566</v>
      </c>
      <c r="F407">
        <v>32</v>
      </c>
      <c r="G407">
        <v>35</v>
      </c>
      <c r="H407" t="s">
        <v>67</v>
      </c>
      <c r="I407" t="s">
        <v>68</v>
      </c>
      <c r="J407">
        <v>2024</v>
      </c>
      <c r="K407">
        <v>10</v>
      </c>
      <c r="L407" s="3">
        <v>45566</v>
      </c>
    </row>
    <row r="408" spans="1:12">
      <c r="A408" t="s">
        <v>514</v>
      </c>
      <c r="B408" t="s">
        <v>503</v>
      </c>
      <c r="C408" t="s">
        <v>503</v>
      </c>
      <c r="D408" t="s">
        <v>504</v>
      </c>
      <c r="E408" s="3">
        <v>45597</v>
      </c>
      <c r="F408">
        <v>18</v>
      </c>
      <c r="G408">
        <v>23</v>
      </c>
      <c r="H408" t="s">
        <v>67</v>
      </c>
      <c r="I408" t="s">
        <v>68</v>
      </c>
      <c r="J408">
        <v>2024</v>
      </c>
      <c r="K408">
        <v>11</v>
      </c>
      <c r="L408" s="3">
        <v>45597</v>
      </c>
    </row>
    <row r="409" spans="1:12">
      <c r="A409" t="s">
        <v>515</v>
      </c>
      <c r="B409" t="s">
        <v>503</v>
      </c>
      <c r="C409" t="s">
        <v>503</v>
      </c>
      <c r="D409" t="s">
        <v>504</v>
      </c>
      <c r="E409" s="3">
        <v>45627</v>
      </c>
      <c r="F409">
        <v>7</v>
      </c>
      <c r="G409">
        <v>4</v>
      </c>
      <c r="H409" t="s">
        <v>78</v>
      </c>
      <c r="I409" t="s">
        <v>68</v>
      </c>
      <c r="J409">
        <v>2024</v>
      </c>
      <c r="K409">
        <v>12</v>
      </c>
      <c r="L409" s="3">
        <v>45627</v>
      </c>
    </row>
    <row r="410" spans="1:12">
      <c r="A410" t="s">
        <v>516</v>
      </c>
      <c r="B410" t="s">
        <v>503</v>
      </c>
      <c r="C410" t="s">
        <v>503</v>
      </c>
      <c r="D410" t="s">
        <v>504</v>
      </c>
      <c r="E410" s="3">
        <v>45658</v>
      </c>
      <c r="F410">
        <v>15</v>
      </c>
      <c r="G410">
        <v>20</v>
      </c>
      <c r="H410" t="s">
        <v>71</v>
      </c>
      <c r="I410" t="s">
        <v>68</v>
      </c>
      <c r="J410">
        <v>2025</v>
      </c>
      <c r="K410">
        <v>1</v>
      </c>
      <c r="L410" s="3">
        <v>45658</v>
      </c>
    </row>
    <row r="411" spans="1:12">
      <c r="A411" t="s">
        <v>517</v>
      </c>
      <c r="B411" t="s">
        <v>503</v>
      </c>
      <c r="C411" t="s">
        <v>503</v>
      </c>
      <c r="D411" t="s">
        <v>504</v>
      </c>
      <c r="E411" s="3">
        <v>45689</v>
      </c>
      <c r="F411">
        <v>22</v>
      </c>
      <c r="G411">
        <v>27</v>
      </c>
      <c r="H411" t="s">
        <v>73</v>
      </c>
      <c r="I411" t="s">
        <v>68</v>
      </c>
      <c r="J411">
        <v>2025</v>
      </c>
      <c r="K411">
        <v>2</v>
      </c>
      <c r="L411" s="3">
        <v>45689</v>
      </c>
    </row>
    <row r="412" spans="1:12">
      <c r="A412" t="s">
        <v>518</v>
      </c>
      <c r="B412" t="s">
        <v>503</v>
      </c>
      <c r="C412" t="s">
        <v>503</v>
      </c>
      <c r="D412" t="s">
        <v>504</v>
      </c>
      <c r="E412" s="3">
        <v>45717</v>
      </c>
      <c r="F412">
        <v>2</v>
      </c>
      <c r="G412">
        <v>7</v>
      </c>
      <c r="H412" t="s">
        <v>78</v>
      </c>
      <c r="I412" t="s">
        <v>68</v>
      </c>
      <c r="J412">
        <v>2025</v>
      </c>
      <c r="K412">
        <v>3</v>
      </c>
      <c r="L412" s="3">
        <v>45717</v>
      </c>
    </row>
    <row r="413" spans="1:12">
      <c r="A413" t="s">
        <v>519</v>
      </c>
      <c r="B413" t="s">
        <v>503</v>
      </c>
      <c r="C413" t="s">
        <v>503</v>
      </c>
      <c r="D413" t="s">
        <v>504</v>
      </c>
      <c r="E413" s="3">
        <v>45748</v>
      </c>
      <c r="F413">
        <v>14</v>
      </c>
      <c r="G413">
        <v>19</v>
      </c>
      <c r="H413" t="s">
        <v>78</v>
      </c>
      <c r="I413" t="s">
        <v>68</v>
      </c>
      <c r="J413">
        <v>2025</v>
      </c>
      <c r="K413">
        <v>4</v>
      </c>
      <c r="L413" s="3">
        <v>45748</v>
      </c>
    </row>
    <row r="414" spans="1:12">
      <c r="A414" t="s">
        <v>520</v>
      </c>
      <c r="B414" t="s">
        <v>503</v>
      </c>
      <c r="C414" t="s">
        <v>503</v>
      </c>
      <c r="D414" t="s">
        <v>504</v>
      </c>
      <c r="E414" s="3">
        <v>45778</v>
      </c>
      <c r="F414">
        <v>13</v>
      </c>
      <c r="G414">
        <v>12</v>
      </c>
      <c r="H414" t="s">
        <v>78</v>
      </c>
      <c r="I414" t="s">
        <v>68</v>
      </c>
      <c r="J414">
        <v>2025</v>
      </c>
      <c r="K414">
        <v>5</v>
      </c>
      <c r="L414" s="3">
        <v>45778</v>
      </c>
    </row>
    <row r="415" spans="1:12">
      <c r="A415" t="s">
        <v>521</v>
      </c>
      <c r="B415" t="s">
        <v>503</v>
      </c>
      <c r="C415" t="s">
        <v>503</v>
      </c>
      <c r="D415" t="s">
        <v>504</v>
      </c>
      <c r="E415" s="3">
        <v>45809</v>
      </c>
      <c r="F415">
        <v>14</v>
      </c>
      <c r="G415">
        <v>14</v>
      </c>
      <c r="H415" t="s">
        <v>71</v>
      </c>
      <c r="I415" t="s">
        <v>68</v>
      </c>
      <c r="J415">
        <v>2025</v>
      </c>
      <c r="K415">
        <v>6</v>
      </c>
      <c r="L415" s="3">
        <v>45809</v>
      </c>
    </row>
    <row r="416" spans="1:12">
      <c r="A416" t="s">
        <v>522</v>
      </c>
      <c r="B416" t="s">
        <v>43</v>
      </c>
      <c r="C416" t="s">
        <v>43</v>
      </c>
      <c r="D416" t="s">
        <v>523</v>
      </c>
      <c r="E416" s="3">
        <v>45292</v>
      </c>
      <c r="F416">
        <v>247</v>
      </c>
      <c r="G416">
        <v>242</v>
      </c>
      <c r="H416" t="s">
        <v>78</v>
      </c>
      <c r="I416" t="s">
        <v>68</v>
      </c>
      <c r="J416">
        <v>2024</v>
      </c>
      <c r="K416">
        <v>1</v>
      </c>
      <c r="L416" s="3">
        <v>45292</v>
      </c>
    </row>
    <row r="417" spans="1:12">
      <c r="A417" t="s">
        <v>524</v>
      </c>
      <c r="B417" t="s">
        <v>43</v>
      </c>
      <c r="C417" t="s">
        <v>43</v>
      </c>
      <c r="D417" t="s">
        <v>523</v>
      </c>
      <c r="E417" s="3">
        <v>45323</v>
      </c>
      <c r="F417">
        <v>298</v>
      </c>
      <c r="G417">
        <v>297</v>
      </c>
      <c r="H417" t="s">
        <v>71</v>
      </c>
      <c r="I417" t="s">
        <v>68</v>
      </c>
      <c r="J417">
        <v>2024</v>
      </c>
      <c r="K417">
        <v>2</v>
      </c>
      <c r="L417" s="3">
        <v>45323</v>
      </c>
    </row>
    <row r="418" spans="1:12">
      <c r="A418" t="s">
        <v>525</v>
      </c>
      <c r="B418" t="s">
        <v>43</v>
      </c>
      <c r="C418" t="s">
        <v>43</v>
      </c>
      <c r="D418" t="s">
        <v>523</v>
      </c>
      <c r="E418" s="3">
        <v>45352</v>
      </c>
      <c r="F418">
        <v>186</v>
      </c>
      <c r="G418">
        <v>182</v>
      </c>
      <c r="H418" t="s">
        <v>73</v>
      </c>
      <c r="I418" t="s">
        <v>68</v>
      </c>
      <c r="J418">
        <v>2024</v>
      </c>
      <c r="K418">
        <v>3</v>
      </c>
      <c r="L418" s="3">
        <v>45352</v>
      </c>
    </row>
    <row r="419" spans="1:12">
      <c r="A419" t="s">
        <v>526</v>
      </c>
      <c r="B419" t="s">
        <v>43</v>
      </c>
      <c r="C419" t="s">
        <v>43</v>
      </c>
      <c r="D419" t="s">
        <v>523</v>
      </c>
      <c r="E419" s="3">
        <v>45383</v>
      </c>
      <c r="F419">
        <v>161</v>
      </c>
      <c r="G419">
        <v>163</v>
      </c>
      <c r="H419" t="s">
        <v>71</v>
      </c>
      <c r="I419" t="s">
        <v>68</v>
      </c>
      <c r="J419">
        <v>2024</v>
      </c>
      <c r="K419">
        <v>4</v>
      </c>
      <c r="L419" s="3">
        <v>45383</v>
      </c>
    </row>
    <row r="420" spans="1:12">
      <c r="A420" t="s">
        <v>527</v>
      </c>
      <c r="B420" t="s">
        <v>43</v>
      </c>
      <c r="C420" t="s">
        <v>43</v>
      </c>
      <c r="D420" t="s">
        <v>523</v>
      </c>
      <c r="E420" s="3">
        <v>45413</v>
      </c>
      <c r="F420">
        <v>173</v>
      </c>
      <c r="G420">
        <v>178</v>
      </c>
      <c r="H420" t="s">
        <v>67</v>
      </c>
      <c r="I420" t="s">
        <v>68</v>
      </c>
      <c r="J420">
        <v>2024</v>
      </c>
      <c r="K420">
        <v>5</v>
      </c>
      <c r="L420" s="3">
        <v>45413</v>
      </c>
    </row>
    <row r="421" spans="1:12">
      <c r="A421" t="s">
        <v>528</v>
      </c>
      <c r="B421" t="s">
        <v>43</v>
      </c>
      <c r="C421" t="s">
        <v>43</v>
      </c>
      <c r="D421" t="s">
        <v>523</v>
      </c>
      <c r="E421" s="3">
        <v>45444</v>
      </c>
      <c r="F421">
        <v>258</v>
      </c>
      <c r="G421">
        <v>258</v>
      </c>
      <c r="H421" t="s">
        <v>73</v>
      </c>
      <c r="I421" t="s">
        <v>68</v>
      </c>
      <c r="J421">
        <v>2024</v>
      </c>
      <c r="K421">
        <v>6</v>
      </c>
      <c r="L421" s="3">
        <v>45444</v>
      </c>
    </row>
    <row r="422" spans="1:12">
      <c r="A422" t="s">
        <v>529</v>
      </c>
      <c r="B422" t="s">
        <v>43</v>
      </c>
      <c r="C422" t="s">
        <v>43</v>
      </c>
      <c r="D422" t="s">
        <v>523</v>
      </c>
      <c r="E422" s="3">
        <v>45474</v>
      </c>
      <c r="F422">
        <v>131</v>
      </c>
      <c r="G422">
        <v>133</v>
      </c>
      <c r="H422" t="s">
        <v>71</v>
      </c>
      <c r="I422" t="s">
        <v>68</v>
      </c>
      <c r="J422">
        <v>2024</v>
      </c>
      <c r="K422">
        <v>7</v>
      </c>
      <c r="L422" s="3">
        <v>45474</v>
      </c>
    </row>
    <row r="423" spans="1:12">
      <c r="A423" t="s">
        <v>530</v>
      </c>
      <c r="B423" t="s">
        <v>43</v>
      </c>
      <c r="C423" t="s">
        <v>43</v>
      </c>
      <c r="D423" t="s">
        <v>523</v>
      </c>
      <c r="E423" s="3">
        <v>45505</v>
      </c>
      <c r="F423">
        <v>224</v>
      </c>
      <c r="G423">
        <v>224</v>
      </c>
      <c r="H423" t="s">
        <v>71</v>
      </c>
      <c r="I423" t="s">
        <v>68</v>
      </c>
      <c r="J423">
        <v>2024</v>
      </c>
      <c r="K423">
        <v>8</v>
      </c>
      <c r="L423" s="3">
        <v>45505</v>
      </c>
    </row>
    <row r="424" spans="1:12">
      <c r="A424" t="s">
        <v>531</v>
      </c>
      <c r="B424" t="s">
        <v>43</v>
      </c>
      <c r="C424" t="s">
        <v>43</v>
      </c>
      <c r="D424" t="s">
        <v>523</v>
      </c>
      <c r="E424" s="3">
        <v>45536</v>
      </c>
      <c r="F424">
        <v>195</v>
      </c>
      <c r="G424">
        <v>193</v>
      </c>
      <c r="H424" t="s">
        <v>73</v>
      </c>
      <c r="I424" t="s">
        <v>68</v>
      </c>
      <c r="J424">
        <v>2024</v>
      </c>
      <c r="K424">
        <v>9</v>
      </c>
      <c r="L424" s="3">
        <v>45536</v>
      </c>
    </row>
    <row r="425" spans="1:12">
      <c r="A425" t="s">
        <v>532</v>
      </c>
      <c r="B425" t="s">
        <v>43</v>
      </c>
      <c r="C425" t="s">
        <v>43</v>
      </c>
      <c r="D425" t="s">
        <v>523</v>
      </c>
      <c r="E425" s="3">
        <v>45566</v>
      </c>
      <c r="F425">
        <v>213</v>
      </c>
      <c r="G425">
        <v>215</v>
      </c>
      <c r="H425" t="s">
        <v>67</v>
      </c>
      <c r="I425" t="s">
        <v>68</v>
      </c>
      <c r="J425">
        <v>2024</v>
      </c>
      <c r="K425">
        <v>10</v>
      </c>
      <c r="L425" s="3">
        <v>45566</v>
      </c>
    </row>
    <row r="426" spans="1:12">
      <c r="A426" t="s">
        <v>533</v>
      </c>
      <c r="B426" t="s">
        <v>43</v>
      </c>
      <c r="C426" t="s">
        <v>43</v>
      </c>
      <c r="D426" t="s">
        <v>523</v>
      </c>
      <c r="E426" s="3">
        <v>45597</v>
      </c>
      <c r="F426">
        <v>150</v>
      </c>
      <c r="G426">
        <v>151</v>
      </c>
      <c r="H426" t="s">
        <v>73</v>
      </c>
      <c r="I426" t="s">
        <v>68</v>
      </c>
      <c r="J426">
        <v>2024</v>
      </c>
      <c r="K426">
        <v>11</v>
      </c>
      <c r="L426" s="3">
        <v>45597</v>
      </c>
    </row>
    <row r="427" spans="1:12">
      <c r="A427" t="s">
        <v>534</v>
      </c>
      <c r="B427" t="s">
        <v>43</v>
      </c>
      <c r="C427" t="s">
        <v>43</v>
      </c>
      <c r="D427" t="s">
        <v>523</v>
      </c>
      <c r="E427" s="3">
        <v>45627</v>
      </c>
      <c r="F427">
        <v>270</v>
      </c>
      <c r="G427">
        <v>270</v>
      </c>
      <c r="H427" t="s">
        <v>71</v>
      </c>
      <c r="I427" t="s">
        <v>68</v>
      </c>
      <c r="J427">
        <v>2024</v>
      </c>
      <c r="K427">
        <v>12</v>
      </c>
      <c r="L427" s="3">
        <v>45627</v>
      </c>
    </row>
    <row r="428" spans="1:12">
      <c r="A428" t="s">
        <v>535</v>
      </c>
      <c r="B428" t="s">
        <v>43</v>
      </c>
      <c r="C428" t="s">
        <v>43</v>
      </c>
      <c r="D428" t="s">
        <v>523</v>
      </c>
      <c r="E428" s="3">
        <v>45658</v>
      </c>
      <c r="F428">
        <v>211</v>
      </c>
      <c r="G428">
        <v>207</v>
      </c>
      <c r="H428" t="s">
        <v>78</v>
      </c>
      <c r="I428" t="s">
        <v>68</v>
      </c>
      <c r="J428">
        <v>2025</v>
      </c>
      <c r="K428">
        <v>1</v>
      </c>
      <c r="L428" s="3">
        <v>45658</v>
      </c>
    </row>
    <row r="429" spans="1:12">
      <c r="A429" t="s">
        <v>536</v>
      </c>
      <c r="B429" t="s">
        <v>43</v>
      </c>
      <c r="C429" t="s">
        <v>43</v>
      </c>
      <c r="D429" t="s">
        <v>523</v>
      </c>
      <c r="E429" s="3">
        <v>45689</v>
      </c>
      <c r="F429">
        <v>137</v>
      </c>
      <c r="G429">
        <v>133</v>
      </c>
      <c r="H429" t="s">
        <v>73</v>
      </c>
      <c r="I429" t="s">
        <v>68</v>
      </c>
      <c r="J429">
        <v>2025</v>
      </c>
      <c r="K429">
        <v>2</v>
      </c>
      <c r="L429" s="3">
        <v>45689</v>
      </c>
    </row>
    <row r="430" spans="1:12">
      <c r="A430" t="s">
        <v>537</v>
      </c>
      <c r="B430" t="s">
        <v>43</v>
      </c>
      <c r="C430" t="s">
        <v>43</v>
      </c>
      <c r="D430" t="s">
        <v>523</v>
      </c>
      <c r="E430" s="3">
        <v>45717</v>
      </c>
      <c r="F430">
        <v>173</v>
      </c>
      <c r="G430">
        <v>178</v>
      </c>
      <c r="H430" t="s">
        <v>67</v>
      </c>
      <c r="I430" t="s">
        <v>68</v>
      </c>
      <c r="J430">
        <v>2025</v>
      </c>
      <c r="K430">
        <v>3</v>
      </c>
      <c r="L430" s="3">
        <v>45717</v>
      </c>
    </row>
    <row r="431" spans="1:12">
      <c r="A431" t="s">
        <v>538</v>
      </c>
      <c r="B431" t="s">
        <v>43</v>
      </c>
      <c r="C431" t="s">
        <v>43</v>
      </c>
      <c r="D431" t="s">
        <v>523</v>
      </c>
      <c r="E431" s="3">
        <v>45748</v>
      </c>
      <c r="F431">
        <v>243</v>
      </c>
      <c r="G431">
        <v>243</v>
      </c>
      <c r="H431" t="s">
        <v>71</v>
      </c>
      <c r="I431" t="s">
        <v>68</v>
      </c>
      <c r="J431">
        <v>2025</v>
      </c>
      <c r="K431">
        <v>4</v>
      </c>
      <c r="L431" s="3">
        <v>45748</v>
      </c>
    </row>
    <row r="432" spans="1:12">
      <c r="A432" t="s">
        <v>539</v>
      </c>
      <c r="B432" t="s">
        <v>43</v>
      </c>
      <c r="C432" t="s">
        <v>43</v>
      </c>
      <c r="D432" t="s">
        <v>523</v>
      </c>
      <c r="E432" s="3">
        <v>45778</v>
      </c>
      <c r="F432">
        <v>157</v>
      </c>
      <c r="G432">
        <v>157</v>
      </c>
      <c r="H432" t="s">
        <v>78</v>
      </c>
      <c r="I432" t="s">
        <v>68</v>
      </c>
      <c r="J432">
        <v>2025</v>
      </c>
      <c r="K432">
        <v>5</v>
      </c>
      <c r="L432" s="3">
        <v>45778</v>
      </c>
    </row>
    <row r="433" spans="1:12">
      <c r="A433" t="s">
        <v>540</v>
      </c>
      <c r="B433" t="s">
        <v>43</v>
      </c>
      <c r="C433" t="s">
        <v>43</v>
      </c>
      <c r="D433" t="s">
        <v>523</v>
      </c>
      <c r="E433" s="3">
        <v>45809</v>
      </c>
      <c r="F433">
        <v>159</v>
      </c>
      <c r="G433">
        <v>164</v>
      </c>
      <c r="H433" t="s">
        <v>73</v>
      </c>
      <c r="I433" t="s">
        <v>68</v>
      </c>
      <c r="J433">
        <v>2025</v>
      </c>
      <c r="K433">
        <v>6</v>
      </c>
      <c r="L433" s="3">
        <v>45809</v>
      </c>
    </row>
    <row r="434" spans="1:12">
      <c r="E434" s="3"/>
      <c r="L434" s="3"/>
    </row>
    <row r="435" spans="1:12">
      <c r="E435" s="3"/>
      <c r="L435" s="3"/>
    </row>
    <row r="436" spans="1:12">
      <c r="E436" s="3"/>
      <c r="L436" s="3"/>
    </row>
    <row r="437" spans="1:12">
      <c r="E437" s="3"/>
      <c r="L437" s="3"/>
    </row>
    <row r="438" spans="1:12">
      <c r="E438" s="3"/>
      <c r="L438" s="3"/>
    </row>
    <row r="439" spans="1:12">
      <c r="E439" s="3"/>
      <c r="L439" s="3"/>
    </row>
    <row r="440" spans="1:12">
      <c r="E440" s="3"/>
      <c r="L440" s="3"/>
    </row>
    <row r="441" spans="1:12">
      <c r="E441" s="3"/>
      <c r="L441" s="3"/>
    </row>
    <row r="442" spans="1:12">
      <c r="E442" s="3"/>
      <c r="L442" s="3"/>
    </row>
    <row r="443" spans="1:12">
      <c r="E443" s="3"/>
      <c r="L443" s="3"/>
    </row>
    <row r="444" spans="1:12">
      <c r="E444" s="3"/>
      <c r="L444" s="3"/>
    </row>
    <row r="445" spans="1:12">
      <c r="E445" s="3"/>
      <c r="L445" s="3"/>
    </row>
    <row r="446" spans="1:12">
      <c r="E446" s="3"/>
      <c r="L446" s="3"/>
    </row>
    <row r="447" spans="1:12">
      <c r="E447" s="3"/>
      <c r="L447" s="3"/>
    </row>
    <row r="448" spans="1:12">
      <c r="E448" s="3"/>
      <c r="L448" s="3"/>
    </row>
    <row r="449" spans="5:12">
      <c r="E449" s="3"/>
      <c r="L449" s="3"/>
    </row>
    <row r="450" spans="5:12">
      <c r="E450" s="3"/>
      <c r="L450" s="3"/>
    </row>
    <row r="451" spans="5:12">
      <c r="E451" s="3"/>
      <c r="L451" s="3"/>
    </row>
    <row r="452" spans="5:12">
      <c r="E452" s="3"/>
      <c r="L452" s="3"/>
    </row>
    <row r="453" spans="5:12">
      <c r="E453" s="3"/>
      <c r="L453" s="3"/>
    </row>
    <row r="454" spans="5:12">
      <c r="E454" s="3"/>
      <c r="L454" s="3"/>
    </row>
    <row r="455" spans="5:12">
      <c r="E455" s="3"/>
      <c r="L455" s="3"/>
    </row>
    <row r="456" spans="5:12">
      <c r="E456" s="3"/>
      <c r="L456" s="3"/>
    </row>
    <row r="457" spans="5:12">
      <c r="E457" s="3"/>
      <c r="L457" s="3"/>
    </row>
    <row r="458" spans="5:12">
      <c r="E458" s="3"/>
      <c r="L458" s="3"/>
    </row>
    <row r="459" spans="5:12">
      <c r="E459" s="3"/>
      <c r="L459" s="3"/>
    </row>
    <row r="460" spans="5:12">
      <c r="E460" s="3"/>
      <c r="L460" s="3"/>
    </row>
    <row r="461" spans="5:12">
      <c r="E461" s="3"/>
      <c r="L461" s="3"/>
    </row>
    <row r="462" spans="5:12">
      <c r="E462" s="3"/>
      <c r="L462" s="3"/>
    </row>
    <row r="463" spans="5:12">
      <c r="E463" s="3"/>
      <c r="L463" s="3"/>
    </row>
    <row r="464" spans="5:12">
      <c r="E464" s="3"/>
      <c r="L464" s="3"/>
    </row>
    <row r="465" spans="5:12">
      <c r="E465" s="3"/>
      <c r="L465" s="3"/>
    </row>
    <row r="466" spans="5:12">
      <c r="E466" s="3"/>
      <c r="L466" s="3"/>
    </row>
    <row r="467" spans="5:12">
      <c r="E467" s="3"/>
      <c r="L467" s="3"/>
    </row>
    <row r="468" spans="5:12">
      <c r="E468" s="3"/>
      <c r="L468" s="3"/>
    </row>
    <row r="469" spans="5:12">
      <c r="E469" s="3"/>
      <c r="L469" s="3"/>
    </row>
    <row r="470" spans="5:12">
      <c r="E470" s="3"/>
      <c r="L470" s="3"/>
    </row>
    <row r="471" spans="5:12">
      <c r="E471" s="3"/>
      <c r="L471" s="3"/>
    </row>
    <row r="472" spans="5:12">
      <c r="E472" s="3"/>
      <c r="L472" s="3"/>
    </row>
    <row r="473" spans="5:12">
      <c r="E473" s="3"/>
      <c r="L473" s="3"/>
    </row>
    <row r="474" spans="5:12">
      <c r="E474" s="3"/>
      <c r="L474" s="3"/>
    </row>
    <row r="475" spans="5:12">
      <c r="E475" s="3"/>
      <c r="L475" s="3"/>
    </row>
    <row r="476" spans="5:12">
      <c r="E476" s="3"/>
      <c r="L476" s="3"/>
    </row>
    <row r="477" spans="5:12">
      <c r="E477" s="3"/>
      <c r="L477" s="3"/>
    </row>
    <row r="478" spans="5:12">
      <c r="E478" s="3"/>
      <c r="L478" s="3"/>
    </row>
    <row r="479" spans="5:12">
      <c r="E479" s="3"/>
      <c r="L479" s="3"/>
    </row>
    <row r="480" spans="5:12">
      <c r="E480" s="3"/>
      <c r="L480" s="3"/>
    </row>
    <row r="481" spans="5:12">
      <c r="E481" s="3"/>
      <c r="L481" s="3"/>
    </row>
    <row r="482" spans="5:12">
      <c r="E482" s="3"/>
      <c r="L482" s="3"/>
    </row>
    <row r="483" spans="5:12">
      <c r="E483" s="3"/>
      <c r="L483" s="3"/>
    </row>
    <row r="484" spans="5:12">
      <c r="E484" s="3"/>
      <c r="L484" s="3"/>
    </row>
    <row r="485" spans="5:12">
      <c r="E485" s="3"/>
      <c r="L485" s="3"/>
    </row>
    <row r="486" spans="5:12">
      <c r="E486" s="3"/>
      <c r="L486" s="3"/>
    </row>
    <row r="487" spans="5:12">
      <c r="E487" s="3"/>
      <c r="L487" s="3"/>
    </row>
    <row r="488" spans="5:12">
      <c r="E488" s="3"/>
      <c r="L488" s="3"/>
    </row>
    <row r="489" spans="5:12">
      <c r="E489" s="3"/>
      <c r="L489" s="3"/>
    </row>
    <row r="490" spans="5:12">
      <c r="E490" s="3"/>
      <c r="L490" s="3"/>
    </row>
    <row r="491" spans="5:12">
      <c r="E491" s="3"/>
      <c r="L491" s="3"/>
    </row>
    <row r="492" spans="5:12">
      <c r="E492" s="3"/>
      <c r="L492" s="3"/>
    </row>
    <row r="493" spans="5:12">
      <c r="E493" s="3"/>
      <c r="L493" s="3"/>
    </row>
    <row r="494" spans="5:12">
      <c r="E494" s="3"/>
      <c r="L494" s="3"/>
    </row>
    <row r="495" spans="5:12">
      <c r="E495" s="3"/>
      <c r="L495" s="3"/>
    </row>
    <row r="496" spans="5:12">
      <c r="E496" s="3"/>
      <c r="L496" s="3"/>
    </row>
    <row r="497" spans="5:12">
      <c r="E497" s="3"/>
      <c r="L497" s="3"/>
    </row>
    <row r="498" spans="5:12">
      <c r="E498" s="3"/>
      <c r="L498" s="3"/>
    </row>
    <row r="499" spans="5:12">
      <c r="E499" s="3"/>
      <c r="L499" s="3"/>
    </row>
    <row r="500" spans="5:12">
      <c r="E500" s="3"/>
      <c r="L50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"/>
  <sheetViews>
    <sheetView workbookViewId="0"/>
  </sheetViews>
  <sheetFormatPr baseColWidth="10" defaultColWidth="8.83203125" defaultRowHeight="15"/>
  <cols>
    <col min="1" max="1" width="16" customWidth="1"/>
    <col min="2" max="2" width="28" customWidth="1"/>
    <col min="3" max="15" width="16" customWidth="1"/>
  </cols>
  <sheetData>
    <row r="1" spans="1:15" ht="32" customHeight="1">
      <c r="A1" s="2" t="s">
        <v>30</v>
      </c>
      <c r="B1" s="2" t="s">
        <v>59</v>
      </c>
      <c r="C1" s="2" t="s">
        <v>546</v>
      </c>
      <c r="D1" s="2" t="s">
        <v>547</v>
      </c>
      <c r="E1" s="2" t="s">
        <v>548</v>
      </c>
      <c r="F1" s="2" t="s">
        <v>549</v>
      </c>
      <c r="G1" s="2" t="s">
        <v>550</v>
      </c>
      <c r="H1" s="2" t="s">
        <v>551</v>
      </c>
      <c r="I1" s="2" t="s">
        <v>552</v>
      </c>
      <c r="J1" s="2" t="s">
        <v>553</v>
      </c>
      <c r="K1" s="2" t="s">
        <v>554</v>
      </c>
      <c r="L1" s="2" t="s">
        <v>555</v>
      </c>
      <c r="M1" s="2" t="s">
        <v>556</v>
      </c>
      <c r="N1" s="2" t="s">
        <v>557</v>
      </c>
      <c r="O1" s="2" t="s">
        <v>558</v>
      </c>
    </row>
    <row r="2" spans="1:15">
      <c r="A2" t="s">
        <v>45</v>
      </c>
      <c r="B2" t="s">
        <v>66</v>
      </c>
      <c r="C2" t="s">
        <v>559</v>
      </c>
      <c r="D2" t="s">
        <v>560</v>
      </c>
      <c r="E2" t="s">
        <v>561</v>
      </c>
      <c r="F2" t="s">
        <v>561</v>
      </c>
      <c r="G2">
        <v>70</v>
      </c>
      <c r="H2">
        <v>0</v>
      </c>
      <c r="I2">
        <v>7</v>
      </c>
      <c r="J2">
        <v>63</v>
      </c>
      <c r="K2" s="4">
        <v>18.5</v>
      </c>
      <c r="L2">
        <v>28</v>
      </c>
      <c r="M2">
        <v>50</v>
      </c>
      <c r="N2">
        <v>71</v>
      </c>
      <c r="O2" t="s">
        <v>562</v>
      </c>
    </row>
    <row r="3" spans="1:15">
      <c r="A3" t="s">
        <v>47</v>
      </c>
      <c r="B3" t="s">
        <v>90</v>
      </c>
      <c r="C3" t="s">
        <v>559</v>
      </c>
      <c r="D3" t="s">
        <v>560</v>
      </c>
      <c r="E3" t="s">
        <v>561</v>
      </c>
      <c r="F3" t="s">
        <v>561</v>
      </c>
      <c r="G3">
        <v>117</v>
      </c>
      <c r="H3">
        <v>0</v>
      </c>
      <c r="I3">
        <v>21</v>
      </c>
      <c r="J3">
        <v>96</v>
      </c>
      <c r="K3" s="4">
        <v>24</v>
      </c>
      <c r="L3">
        <v>35</v>
      </c>
      <c r="M3">
        <v>40</v>
      </c>
      <c r="N3">
        <v>46</v>
      </c>
      <c r="O3" t="s">
        <v>563</v>
      </c>
    </row>
    <row r="4" spans="1:15">
      <c r="A4" t="s">
        <v>48</v>
      </c>
      <c r="B4" t="s">
        <v>109</v>
      </c>
      <c r="C4" t="s">
        <v>559</v>
      </c>
      <c r="D4" t="s">
        <v>560</v>
      </c>
      <c r="E4" t="s">
        <v>561</v>
      </c>
      <c r="F4" t="s">
        <v>561</v>
      </c>
      <c r="G4">
        <v>336</v>
      </c>
      <c r="H4">
        <v>0</v>
      </c>
      <c r="I4">
        <v>18</v>
      </c>
      <c r="J4">
        <v>318</v>
      </c>
      <c r="K4" s="4">
        <v>21</v>
      </c>
      <c r="L4">
        <v>30</v>
      </c>
      <c r="M4">
        <v>40</v>
      </c>
      <c r="N4">
        <v>52</v>
      </c>
      <c r="O4" t="s">
        <v>563</v>
      </c>
    </row>
    <row r="5" spans="1:15">
      <c r="A5" t="s">
        <v>128</v>
      </c>
      <c r="B5" t="s">
        <v>129</v>
      </c>
      <c r="C5" t="s">
        <v>564</v>
      </c>
      <c r="D5" t="s">
        <v>560</v>
      </c>
      <c r="E5" t="s">
        <v>565</v>
      </c>
      <c r="F5" t="s">
        <v>565</v>
      </c>
      <c r="G5">
        <v>8</v>
      </c>
      <c r="H5">
        <v>4</v>
      </c>
      <c r="I5">
        <v>0</v>
      </c>
      <c r="J5">
        <v>12</v>
      </c>
      <c r="K5" s="4">
        <v>55</v>
      </c>
      <c r="L5">
        <v>45</v>
      </c>
      <c r="M5">
        <v>20</v>
      </c>
      <c r="N5">
        <v>2</v>
      </c>
      <c r="O5" t="s">
        <v>563</v>
      </c>
    </row>
    <row r="6" spans="1:15">
      <c r="A6" t="s">
        <v>148</v>
      </c>
      <c r="B6" t="s">
        <v>149</v>
      </c>
      <c r="C6" t="s">
        <v>564</v>
      </c>
      <c r="D6" t="s">
        <v>566</v>
      </c>
      <c r="E6" t="s">
        <v>567</v>
      </c>
      <c r="F6" t="s">
        <v>567</v>
      </c>
      <c r="G6">
        <v>46</v>
      </c>
      <c r="H6">
        <v>0</v>
      </c>
      <c r="I6">
        <v>8</v>
      </c>
      <c r="J6">
        <v>38</v>
      </c>
      <c r="K6" s="4">
        <v>125</v>
      </c>
      <c r="L6">
        <v>60</v>
      </c>
      <c r="M6">
        <v>10</v>
      </c>
      <c r="N6">
        <v>5</v>
      </c>
      <c r="O6" t="s">
        <v>563</v>
      </c>
    </row>
    <row r="7" spans="1:15">
      <c r="A7" t="s">
        <v>168</v>
      </c>
      <c r="B7" t="s">
        <v>169</v>
      </c>
      <c r="C7" t="s">
        <v>568</v>
      </c>
      <c r="D7" t="s">
        <v>560</v>
      </c>
      <c r="E7" t="s">
        <v>569</v>
      </c>
      <c r="F7" t="s">
        <v>569</v>
      </c>
      <c r="G7">
        <v>231</v>
      </c>
      <c r="H7">
        <v>0</v>
      </c>
      <c r="I7">
        <v>49</v>
      </c>
      <c r="J7">
        <v>182</v>
      </c>
      <c r="K7" s="4">
        <v>38</v>
      </c>
      <c r="L7">
        <v>21</v>
      </c>
      <c r="M7">
        <v>25</v>
      </c>
      <c r="N7">
        <v>18</v>
      </c>
      <c r="O7" t="s">
        <v>563</v>
      </c>
    </row>
    <row r="8" spans="1:15">
      <c r="A8" t="s">
        <v>49</v>
      </c>
      <c r="B8" t="s">
        <v>188</v>
      </c>
      <c r="C8" t="s">
        <v>559</v>
      </c>
      <c r="D8" t="s">
        <v>560</v>
      </c>
      <c r="E8" t="s">
        <v>561</v>
      </c>
      <c r="F8" t="s">
        <v>561</v>
      </c>
      <c r="G8">
        <v>131</v>
      </c>
      <c r="H8">
        <v>0</v>
      </c>
      <c r="I8">
        <v>24</v>
      </c>
      <c r="J8">
        <v>107</v>
      </c>
      <c r="K8" s="4">
        <v>42</v>
      </c>
      <c r="L8">
        <v>32</v>
      </c>
      <c r="M8">
        <v>30</v>
      </c>
      <c r="N8">
        <v>47</v>
      </c>
      <c r="O8" t="s">
        <v>563</v>
      </c>
    </row>
    <row r="9" spans="1:15">
      <c r="A9" t="s">
        <v>207</v>
      </c>
      <c r="B9" t="s">
        <v>208</v>
      </c>
      <c r="C9" t="s">
        <v>559</v>
      </c>
      <c r="D9" t="s">
        <v>560</v>
      </c>
      <c r="E9" t="s">
        <v>561</v>
      </c>
      <c r="F9" t="s">
        <v>561</v>
      </c>
      <c r="G9">
        <v>77</v>
      </c>
      <c r="H9">
        <v>62</v>
      </c>
      <c r="I9">
        <v>7</v>
      </c>
      <c r="J9">
        <v>132</v>
      </c>
      <c r="K9" s="4">
        <v>48</v>
      </c>
      <c r="L9">
        <v>40</v>
      </c>
      <c r="M9">
        <v>25</v>
      </c>
      <c r="N9">
        <v>22</v>
      </c>
      <c r="O9" t="s">
        <v>563</v>
      </c>
    </row>
    <row r="10" spans="1:15">
      <c r="A10" t="s">
        <v>40</v>
      </c>
      <c r="B10" t="s">
        <v>227</v>
      </c>
      <c r="C10" t="s">
        <v>570</v>
      </c>
      <c r="D10" t="s">
        <v>560</v>
      </c>
      <c r="E10" t="s">
        <v>571</v>
      </c>
      <c r="F10" t="s">
        <v>571</v>
      </c>
      <c r="G10">
        <v>383</v>
      </c>
      <c r="H10">
        <v>383</v>
      </c>
      <c r="I10">
        <v>54</v>
      </c>
      <c r="J10">
        <v>712</v>
      </c>
      <c r="K10" s="4">
        <v>3.8</v>
      </c>
      <c r="L10">
        <v>14</v>
      </c>
      <c r="M10">
        <v>100</v>
      </c>
      <c r="N10">
        <v>126</v>
      </c>
      <c r="O10" t="s">
        <v>563</v>
      </c>
    </row>
    <row r="11" spans="1:15">
      <c r="A11" t="s">
        <v>246</v>
      </c>
      <c r="B11" t="s">
        <v>247</v>
      </c>
      <c r="C11" t="s">
        <v>572</v>
      </c>
      <c r="D11" t="s">
        <v>560</v>
      </c>
      <c r="E11" t="s">
        <v>573</v>
      </c>
      <c r="F11" t="s">
        <v>573</v>
      </c>
      <c r="G11">
        <v>97</v>
      </c>
      <c r="H11">
        <v>0</v>
      </c>
      <c r="I11">
        <v>20</v>
      </c>
      <c r="J11">
        <v>77</v>
      </c>
      <c r="K11" s="4">
        <v>8.5</v>
      </c>
      <c r="L11">
        <v>20</v>
      </c>
      <c r="M11">
        <v>75</v>
      </c>
      <c r="N11">
        <v>17</v>
      </c>
      <c r="O11" t="s">
        <v>563</v>
      </c>
    </row>
    <row r="12" spans="1:15">
      <c r="A12" t="s">
        <v>266</v>
      </c>
      <c r="B12" t="s">
        <v>267</v>
      </c>
      <c r="C12" t="s">
        <v>568</v>
      </c>
      <c r="D12" t="s">
        <v>560</v>
      </c>
      <c r="E12" t="s">
        <v>565</v>
      </c>
      <c r="F12" t="s">
        <v>565</v>
      </c>
      <c r="G12">
        <v>116</v>
      </c>
      <c r="H12">
        <v>16</v>
      </c>
      <c r="I12">
        <v>26</v>
      </c>
      <c r="J12">
        <v>106</v>
      </c>
      <c r="K12" s="4">
        <v>32</v>
      </c>
      <c r="L12">
        <v>50</v>
      </c>
      <c r="M12">
        <v>15</v>
      </c>
      <c r="N12">
        <v>14</v>
      </c>
      <c r="O12" t="s">
        <v>563</v>
      </c>
    </row>
    <row r="13" spans="1:15">
      <c r="A13" t="s">
        <v>286</v>
      </c>
      <c r="B13" t="s">
        <v>287</v>
      </c>
      <c r="C13" t="s">
        <v>574</v>
      </c>
      <c r="D13" t="s">
        <v>560</v>
      </c>
      <c r="E13" t="s">
        <v>575</v>
      </c>
      <c r="F13" t="s">
        <v>575</v>
      </c>
      <c r="G13">
        <v>52</v>
      </c>
      <c r="H13">
        <v>10</v>
      </c>
      <c r="I13">
        <v>12</v>
      </c>
      <c r="J13">
        <v>50</v>
      </c>
      <c r="K13" s="4">
        <v>78</v>
      </c>
      <c r="L13">
        <v>55</v>
      </c>
      <c r="M13">
        <v>10</v>
      </c>
      <c r="N13">
        <v>6</v>
      </c>
      <c r="O13" t="s">
        <v>563</v>
      </c>
    </row>
    <row r="14" spans="1:15">
      <c r="A14" t="s">
        <v>306</v>
      </c>
      <c r="B14" t="s">
        <v>307</v>
      </c>
      <c r="C14" t="s">
        <v>574</v>
      </c>
      <c r="D14" t="s">
        <v>566</v>
      </c>
      <c r="E14" t="s">
        <v>576</v>
      </c>
      <c r="F14" t="s">
        <v>576</v>
      </c>
      <c r="G14">
        <v>14</v>
      </c>
      <c r="H14">
        <v>7</v>
      </c>
      <c r="I14">
        <v>3</v>
      </c>
      <c r="J14">
        <v>18</v>
      </c>
      <c r="K14" s="4">
        <v>210</v>
      </c>
      <c r="L14">
        <v>70</v>
      </c>
      <c r="M14">
        <v>5</v>
      </c>
      <c r="N14">
        <v>4</v>
      </c>
      <c r="O14" t="s">
        <v>562</v>
      </c>
    </row>
    <row r="15" spans="1:15">
      <c r="A15" t="s">
        <v>53</v>
      </c>
      <c r="B15" t="s">
        <v>326</v>
      </c>
      <c r="C15" t="s">
        <v>574</v>
      </c>
      <c r="D15" t="s">
        <v>560</v>
      </c>
      <c r="E15" t="s">
        <v>577</v>
      </c>
      <c r="F15" t="s">
        <v>577</v>
      </c>
      <c r="G15">
        <v>46</v>
      </c>
      <c r="H15">
        <v>0</v>
      </c>
      <c r="I15">
        <v>5</v>
      </c>
      <c r="J15">
        <v>41</v>
      </c>
      <c r="K15" s="4">
        <v>14</v>
      </c>
      <c r="L15">
        <v>35</v>
      </c>
      <c r="M15">
        <v>25</v>
      </c>
      <c r="N15">
        <v>26</v>
      </c>
      <c r="O15" t="s">
        <v>563</v>
      </c>
    </row>
    <row r="16" spans="1:15">
      <c r="A16" t="s">
        <v>55</v>
      </c>
      <c r="B16" t="s">
        <v>346</v>
      </c>
      <c r="C16" t="s">
        <v>574</v>
      </c>
      <c r="D16" t="s">
        <v>560</v>
      </c>
      <c r="E16" t="s">
        <v>577</v>
      </c>
      <c r="F16" t="s">
        <v>577</v>
      </c>
      <c r="G16">
        <v>95</v>
      </c>
      <c r="H16">
        <v>0</v>
      </c>
      <c r="I16">
        <v>19</v>
      </c>
      <c r="J16">
        <v>76</v>
      </c>
      <c r="K16" s="4">
        <v>16</v>
      </c>
      <c r="L16">
        <v>35</v>
      </c>
      <c r="M16">
        <v>25</v>
      </c>
      <c r="N16">
        <v>24</v>
      </c>
      <c r="O16" t="s">
        <v>563</v>
      </c>
    </row>
    <row r="17" spans="1:15">
      <c r="A17" t="s">
        <v>365</v>
      </c>
      <c r="B17" t="s">
        <v>366</v>
      </c>
      <c r="C17" t="s">
        <v>574</v>
      </c>
      <c r="D17" t="s">
        <v>560</v>
      </c>
      <c r="E17" t="s">
        <v>578</v>
      </c>
      <c r="F17" t="s">
        <v>578</v>
      </c>
      <c r="G17">
        <v>16</v>
      </c>
      <c r="H17">
        <v>33</v>
      </c>
      <c r="I17">
        <v>3</v>
      </c>
      <c r="J17">
        <v>46</v>
      </c>
      <c r="K17" s="4">
        <v>46</v>
      </c>
      <c r="L17">
        <v>48</v>
      </c>
      <c r="M17">
        <v>12</v>
      </c>
      <c r="N17">
        <v>8</v>
      </c>
      <c r="O17" t="s">
        <v>563</v>
      </c>
    </row>
    <row r="18" spans="1:15">
      <c r="A18" t="s">
        <v>385</v>
      </c>
      <c r="B18" t="s">
        <v>386</v>
      </c>
      <c r="C18" t="s">
        <v>574</v>
      </c>
      <c r="D18" t="s">
        <v>566</v>
      </c>
      <c r="E18" t="s">
        <v>579</v>
      </c>
      <c r="F18" t="s">
        <v>579</v>
      </c>
      <c r="G18">
        <v>32</v>
      </c>
      <c r="H18">
        <v>0</v>
      </c>
      <c r="I18">
        <v>3</v>
      </c>
      <c r="J18">
        <v>29</v>
      </c>
      <c r="K18" s="4">
        <v>95</v>
      </c>
      <c r="L18">
        <v>65</v>
      </c>
      <c r="M18">
        <v>8</v>
      </c>
      <c r="N18">
        <v>5</v>
      </c>
      <c r="O18" t="s">
        <v>563</v>
      </c>
    </row>
    <row r="19" spans="1:15">
      <c r="A19" t="s">
        <v>37</v>
      </c>
      <c r="B19" t="s">
        <v>405</v>
      </c>
      <c r="C19" t="s">
        <v>580</v>
      </c>
      <c r="D19" t="s">
        <v>560</v>
      </c>
      <c r="E19" t="s">
        <v>581</v>
      </c>
      <c r="F19" t="s">
        <v>582</v>
      </c>
      <c r="G19">
        <v>2857</v>
      </c>
      <c r="H19">
        <v>761</v>
      </c>
      <c r="I19">
        <v>206</v>
      </c>
      <c r="J19">
        <v>3412</v>
      </c>
      <c r="K19" s="4">
        <v>2.2000000000000002</v>
      </c>
      <c r="L19">
        <v>18</v>
      </c>
      <c r="M19">
        <v>200</v>
      </c>
      <c r="N19">
        <v>239</v>
      </c>
      <c r="O19" t="s">
        <v>563</v>
      </c>
    </row>
    <row r="20" spans="1:15">
      <c r="A20" t="s">
        <v>34</v>
      </c>
      <c r="B20" t="s">
        <v>424</v>
      </c>
      <c r="C20" t="s">
        <v>580</v>
      </c>
      <c r="D20" t="s">
        <v>560</v>
      </c>
      <c r="E20" t="s">
        <v>581</v>
      </c>
      <c r="F20" t="s">
        <v>582</v>
      </c>
      <c r="G20">
        <v>424</v>
      </c>
      <c r="H20">
        <v>941</v>
      </c>
      <c r="I20">
        <v>26</v>
      </c>
      <c r="J20">
        <v>1339</v>
      </c>
      <c r="K20" s="4">
        <v>1.8</v>
      </c>
      <c r="L20">
        <v>18</v>
      </c>
      <c r="M20">
        <v>150</v>
      </c>
      <c r="N20">
        <v>322</v>
      </c>
      <c r="O20" t="s">
        <v>563</v>
      </c>
    </row>
    <row r="21" spans="1:15">
      <c r="A21" t="s">
        <v>443</v>
      </c>
      <c r="B21" t="s">
        <v>444</v>
      </c>
      <c r="C21" t="s">
        <v>570</v>
      </c>
      <c r="D21" t="s">
        <v>560</v>
      </c>
      <c r="E21" t="s">
        <v>567</v>
      </c>
      <c r="F21" t="s">
        <v>567</v>
      </c>
      <c r="G21">
        <v>22</v>
      </c>
      <c r="H21">
        <v>0</v>
      </c>
      <c r="I21">
        <v>2</v>
      </c>
      <c r="J21">
        <v>20</v>
      </c>
      <c r="K21" s="4">
        <v>29</v>
      </c>
      <c r="L21">
        <v>30</v>
      </c>
      <c r="M21">
        <v>20</v>
      </c>
      <c r="N21">
        <v>22</v>
      </c>
      <c r="O21" t="s">
        <v>562</v>
      </c>
    </row>
    <row r="22" spans="1:15">
      <c r="A22" t="s">
        <v>463</v>
      </c>
      <c r="B22" t="s">
        <v>464</v>
      </c>
      <c r="C22" t="s">
        <v>574</v>
      </c>
      <c r="D22" t="s">
        <v>560</v>
      </c>
      <c r="E22" t="s">
        <v>583</v>
      </c>
      <c r="F22" t="s">
        <v>583</v>
      </c>
      <c r="G22">
        <v>21</v>
      </c>
      <c r="H22">
        <v>0</v>
      </c>
      <c r="I22">
        <v>1</v>
      </c>
      <c r="J22">
        <v>20</v>
      </c>
      <c r="K22" s="4">
        <v>140</v>
      </c>
      <c r="L22">
        <v>60</v>
      </c>
      <c r="M22">
        <v>8</v>
      </c>
      <c r="N22">
        <v>7</v>
      </c>
      <c r="O22" t="s">
        <v>563</v>
      </c>
    </row>
    <row r="23" spans="1:15">
      <c r="A23" t="s">
        <v>483</v>
      </c>
      <c r="B23" t="s">
        <v>484</v>
      </c>
      <c r="C23" t="s">
        <v>574</v>
      </c>
      <c r="D23" t="s">
        <v>566</v>
      </c>
      <c r="E23" t="s">
        <v>583</v>
      </c>
      <c r="F23" t="s">
        <v>583</v>
      </c>
      <c r="G23">
        <v>5</v>
      </c>
      <c r="H23">
        <v>2</v>
      </c>
      <c r="I23">
        <v>1</v>
      </c>
      <c r="J23">
        <v>6</v>
      </c>
      <c r="K23" s="4">
        <v>310</v>
      </c>
      <c r="L23">
        <v>75</v>
      </c>
      <c r="M23">
        <v>4</v>
      </c>
      <c r="N23">
        <v>1</v>
      </c>
      <c r="O23" t="s">
        <v>563</v>
      </c>
    </row>
    <row r="24" spans="1:15">
      <c r="A24" t="s">
        <v>503</v>
      </c>
      <c r="B24" t="s">
        <v>504</v>
      </c>
      <c r="C24" t="s">
        <v>574</v>
      </c>
      <c r="D24" t="s">
        <v>560</v>
      </c>
      <c r="E24" t="s">
        <v>584</v>
      </c>
      <c r="F24" t="s">
        <v>576</v>
      </c>
      <c r="G24">
        <v>49</v>
      </c>
      <c r="H24">
        <v>0</v>
      </c>
      <c r="I24">
        <v>10</v>
      </c>
      <c r="J24">
        <v>39</v>
      </c>
      <c r="K24" s="4">
        <v>160</v>
      </c>
      <c r="L24">
        <v>62</v>
      </c>
      <c r="M24">
        <v>8</v>
      </c>
      <c r="N24">
        <v>6</v>
      </c>
      <c r="O24" t="s">
        <v>563</v>
      </c>
    </row>
    <row r="25" spans="1:15">
      <c r="A25" t="s">
        <v>43</v>
      </c>
      <c r="B25" t="s">
        <v>523</v>
      </c>
      <c r="C25" t="s">
        <v>572</v>
      </c>
      <c r="D25" t="s">
        <v>560</v>
      </c>
      <c r="E25" t="s">
        <v>571</v>
      </c>
      <c r="F25" t="s">
        <v>571</v>
      </c>
      <c r="G25">
        <v>738</v>
      </c>
      <c r="H25">
        <v>0</v>
      </c>
      <c r="I25">
        <v>156</v>
      </c>
      <c r="J25">
        <v>582</v>
      </c>
      <c r="K25" s="4">
        <v>4.4000000000000004</v>
      </c>
      <c r="L25">
        <v>15</v>
      </c>
      <c r="M25">
        <v>100</v>
      </c>
      <c r="N25">
        <v>90</v>
      </c>
      <c r="O25" t="s">
        <v>563</v>
      </c>
    </row>
    <row r="26" spans="1:15">
      <c r="K26" s="4"/>
    </row>
    <row r="27" spans="1:15">
      <c r="K27" s="4"/>
    </row>
    <row r="28" spans="1:15">
      <c r="K28" s="4"/>
    </row>
    <row r="29" spans="1:15">
      <c r="K29" s="4"/>
    </row>
    <row r="30" spans="1:15">
      <c r="K30" s="4"/>
    </row>
    <row r="31" spans="1:15">
      <c r="K31" s="4"/>
    </row>
    <row r="32" spans="1:15">
      <c r="K32" s="4"/>
    </row>
    <row r="33" spans="11:11">
      <c r="K33" s="4"/>
    </row>
    <row r="34" spans="11:11">
      <c r="K34" s="4"/>
    </row>
    <row r="35" spans="11:11">
      <c r="K35" s="4"/>
    </row>
    <row r="36" spans="11:11">
      <c r="K36" s="4"/>
    </row>
    <row r="37" spans="11:11">
      <c r="K37" s="4"/>
    </row>
    <row r="38" spans="11:11">
      <c r="K38" s="4"/>
    </row>
    <row r="39" spans="11:11">
      <c r="K39" s="4"/>
    </row>
    <row r="40" spans="11:11">
      <c r="K40" s="4"/>
    </row>
    <row r="41" spans="11:11">
      <c r="K41" s="4"/>
    </row>
    <row r="42" spans="11:11">
      <c r="K42" s="4"/>
    </row>
    <row r="43" spans="11:11">
      <c r="K43" s="4"/>
    </row>
    <row r="44" spans="11:11">
      <c r="K44" s="4"/>
    </row>
    <row r="45" spans="11:11">
      <c r="K45" s="4"/>
    </row>
    <row r="46" spans="11:11">
      <c r="K46" s="4"/>
    </row>
    <row r="47" spans="11:11">
      <c r="K47" s="4"/>
    </row>
    <row r="48" spans="11:11">
      <c r="K48" s="4"/>
    </row>
    <row r="49" spans="11:11">
      <c r="K49" s="4"/>
    </row>
    <row r="50" spans="11:11">
      <c r="K50" s="4"/>
    </row>
    <row r="51" spans="11:11">
      <c r="K51" s="4"/>
    </row>
    <row r="52" spans="11:11">
      <c r="K52" s="4"/>
    </row>
    <row r="53" spans="11:11">
      <c r="K53" s="4"/>
    </row>
    <row r="54" spans="11:11">
      <c r="K54" s="4"/>
    </row>
    <row r="55" spans="11:11">
      <c r="K55" s="4"/>
    </row>
    <row r="56" spans="11:11">
      <c r="K56" s="4"/>
    </row>
    <row r="57" spans="11:11">
      <c r="K57" s="4"/>
    </row>
    <row r="58" spans="11:11">
      <c r="K58" s="4"/>
    </row>
    <row r="59" spans="11:11">
      <c r="K59" s="4"/>
    </row>
    <row r="60" spans="11:11">
      <c r="K60" s="4"/>
    </row>
    <row r="61" spans="11:11">
      <c r="K61" s="4"/>
    </row>
    <row r="62" spans="11:11">
      <c r="K62" s="4"/>
    </row>
    <row r="63" spans="11:11">
      <c r="K63" s="4"/>
    </row>
    <row r="64" spans="11:11">
      <c r="K64" s="4"/>
    </row>
    <row r="65" spans="11:11">
      <c r="K65" s="4"/>
    </row>
    <row r="66" spans="11:11">
      <c r="K66" s="4"/>
    </row>
    <row r="67" spans="11:11">
      <c r="K67" s="4"/>
    </row>
    <row r="68" spans="11:11">
      <c r="K68" s="4"/>
    </row>
    <row r="69" spans="11:11">
      <c r="K69" s="4"/>
    </row>
    <row r="70" spans="11:11">
      <c r="K70" s="4"/>
    </row>
    <row r="71" spans="11:11">
      <c r="K71" s="4"/>
    </row>
    <row r="72" spans="11:11">
      <c r="K72" s="4"/>
    </row>
    <row r="73" spans="11:11">
      <c r="K73" s="4"/>
    </row>
    <row r="74" spans="11:11">
      <c r="K74" s="4"/>
    </row>
    <row r="75" spans="11:11">
      <c r="K75" s="4"/>
    </row>
    <row r="76" spans="11:11">
      <c r="K76" s="4"/>
    </row>
    <row r="77" spans="11:11">
      <c r="K77" s="4"/>
    </row>
    <row r="78" spans="11:11">
      <c r="K78" s="4"/>
    </row>
    <row r="79" spans="11:11">
      <c r="K79" s="4"/>
    </row>
    <row r="80" spans="11:11">
      <c r="K80" s="4"/>
    </row>
    <row r="81" spans="11:11">
      <c r="K81" s="4"/>
    </row>
    <row r="82" spans="11:11">
      <c r="K82" s="4"/>
    </row>
    <row r="83" spans="11:11">
      <c r="K83" s="4"/>
    </row>
    <row r="84" spans="11:11">
      <c r="K84" s="4"/>
    </row>
    <row r="85" spans="11:11">
      <c r="K85" s="4"/>
    </row>
    <row r="86" spans="11:11">
      <c r="K86" s="4"/>
    </row>
    <row r="87" spans="11:11">
      <c r="K87" s="4"/>
    </row>
    <row r="88" spans="11:11">
      <c r="K88" s="4"/>
    </row>
    <row r="89" spans="11:11">
      <c r="K89" s="4"/>
    </row>
    <row r="90" spans="11:11">
      <c r="K90" s="4"/>
    </row>
    <row r="91" spans="11:11">
      <c r="K91" s="4"/>
    </row>
    <row r="92" spans="11:11">
      <c r="K92" s="4"/>
    </row>
    <row r="93" spans="11:11">
      <c r="K93" s="4"/>
    </row>
    <row r="94" spans="11:11">
      <c r="K94" s="4"/>
    </row>
    <row r="95" spans="11:11">
      <c r="K95" s="4"/>
    </row>
    <row r="96" spans="11:11">
      <c r="K96" s="4"/>
    </row>
    <row r="97" spans="11:11">
      <c r="K97" s="4"/>
    </row>
    <row r="98" spans="11:11">
      <c r="K98" s="4"/>
    </row>
    <row r="99" spans="11:11">
      <c r="K99" s="4"/>
    </row>
    <row r="100" spans="11:11">
      <c r="K100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01"/>
  <sheetViews>
    <sheetView showGridLines="0" zoomScale="60" zoomScaleNormal="60" workbookViewId="0">
      <selection activeCell="G44" sqref="G44"/>
    </sheetView>
  </sheetViews>
  <sheetFormatPr baseColWidth="10" defaultColWidth="8.83203125" defaultRowHeight="15"/>
  <cols>
    <col min="2" max="2" width="15" customWidth="1"/>
    <col min="3" max="3" width="28" customWidth="1"/>
    <col min="4" max="14" width="15" customWidth="1"/>
    <col min="15" max="15" width="25" customWidth="1"/>
    <col min="16" max="16" width="19.5" customWidth="1"/>
    <col min="17" max="17" width="30.6640625" customWidth="1"/>
    <col min="18" max="18" width="15" customWidth="1"/>
    <col min="19" max="19" width="23" customWidth="1"/>
    <col min="20" max="23" width="15" customWidth="1"/>
  </cols>
  <sheetData>
    <row r="2" spans="2:23" ht="32" customHeight="1">
      <c r="B2" s="2" t="s">
        <v>30</v>
      </c>
      <c r="C2" s="2" t="s">
        <v>59</v>
      </c>
      <c r="D2" s="2" t="s">
        <v>546</v>
      </c>
      <c r="E2" s="2" t="s">
        <v>547</v>
      </c>
      <c r="F2" s="2" t="s">
        <v>585</v>
      </c>
      <c r="G2" s="2" t="s">
        <v>586</v>
      </c>
      <c r="H2" s="2" t="s">
        <v>587</v>
      </c>
      <c r="I2" s="2" t="s">
        <v>588</v>
      </c>
      <c r="J2" s="2" t="s">
        <v>589</v>
      </c>
      <c r="K2" s="2" t="s">
        <v>590</v>
      </c>
      <c r="L2" s="2" t="s">
        <v>591</v>
      </c>
      <c r="M2" s="2" t="s">
        <v>592</v>
      </c>
      <c r="N2" s="2" t="s">
        <v>593</v>
      </c>
      <c r="O2" s="2" t="s">
        <v>594</v>
      </c>
      <c r="P2" s="2" t="s">
        <v>595</v>
      </c>
      <c r="Q2" s="2" t="s">
        <v>596</v>
      </c>
      <c r="R2" s="2" t="s">
        <v>554</v>
      </c>
      <c r="S2" s="2" t="s">
        <v>597</v>
      </c>
      <c r="T2" s="2" t="s">
        <v>598</v>
      </c>
      <c r="U2" s="2" t="s">
        <v>599</v>
      </c>
      <c r="V2" s="2" t="s">
        <v>600</v>
      </c>
      <c r="W2" s="2" t="s">
        <v>50</v>
      </c>
    </row>
    <row r="3" spans="2:23">
      <c r="B3" t="s">
        <v>45</v>
      </c>
      <c r="C3" t="s">
        <v>66</v>
      </c>
      <c r="D3" t="s">
        <v>559</v>
      </c>
      <c r="E3" t="s">
        <v>560</v>
      </c>
      <c r="F3" t="s">
        <v>561</v>
      </c>
      <c r="G3">
        <v>1652</v>
      </c>
      <c r="H3" s="5">
        <v>137.66666666666671</v>
      </c>
      <c r="I3" s="5">
        <v>143.5</v>
      </c>
      <c r="J3" s="5">
        <v>144.33333333333329</v>
      </c>
      <c r="K3" s="5">
        <v>31.986739676802252</v>
      </c>
      <c r="L3" s="6">
        <v>0.23234919862083961</v>
      </c>
      <c r="M3" s="6">
        <v>4.8426150121065437E-2</v>
      </c>
      <c r="N3">
        <v>0</v>
      </c>
      <c r="O3" t="s">
        <v>601</v>
      </c>
      <c r="P3" t="s">
        <v>602</v>
      </c>
      <c r="Q3" s="5">
        <v>143.5</v>
      </c>
      <c r="R3" s="7">
        <v>18.5</v>
      </c>
      <c r="S3" s="7">
        <v>30562</v>
      </c>
      <c r="T3">
        <v>2</v>
      </c>
      <c r="U3" s="6">
        <v>7.230814693397794E-2</v>
      </c>
      <c r="V3" s="6">
        <v>0.17416227053543559</v>
      </c>
      <c r="W3" t="s">
        <v>54</v>
      </c>
    </row>
    <row r="4" spans="2:23">
      <c r="B4" t="s">
        <v>47</v>
      </c>
      <c r="C4" t="s">
        <v>90</v>
      </c>
      <c r="D4" t="s">
        <v>559</v>
      </c>
      <c r="E4" t="s">
        <v>560</v>
      </c>
      <c r="F4" t="s">
        <v>561</v>
      </c>
      <c r="G4">
        <v>1083</v>
      </c>
      <c r="H4" s="5">
        <v>90.25</v>
      </c>
      <c r="I4" s="5">
        <v>93</v>
      </c>
      <c r="J4" s="5">
        <v>106</v>
      </c>
      <c r="K4" s="5">
        <v>29.76918785345924</v>
      </c>
      <c r="L4" s="6">
        <v>0.32985249699123809</v>
      </c>
      <c r="M4" s="6">
        <v>0.17451523545706379</v>
      </c>
      <c r="N4">
        <v>0</v>
      </c>
      <c r="O4" t="s">
        <v>603</v>
      </c>
      <c r="P4" t="s">
        <v>604</v>
      </c>
      <c r="Q4" s="5">
        <v>106</v>
      </c>
      <c r="R4" s="7">
        <v>24</v>
      </c>
      <c r="S4" s="7">
        <v>25992</v>
      </c>
      <c r="T4">
        <v>5</v>
      </c>
      <c r="U4" s="6">
        <v>6.1495757970942831E-2</v>
      </c>
      <c r="V4" s="6">
        <v>0.36902659871344401</v>
      </c>
      <c r="W4" t="s">
        <v>54</v>
      </c>
    </row>
    <row r="5" spans="2:23">
      <c r="B5" t="s">
        <v>48</v>
      </c>
      <c r="C5" t="s">
        <v>109</v>
      </c>
      <c r="D5" t="s">
        <v>559</v>
      </c>
      <c r="E5" t="s">
        <v>560</v>
      </c>
      <c r="F5" t="s">
        <v>561</v>
      </c>
      <c r="G5">
        <v>1290</v>
      </c>
      <c r="H5" s="5">
        <v>107.5</v>
      </c>
      <c r="I5" s="5">
        <v>105.3333333333333</v>
      </c>
      <c r="J5" s="5">
        <v>113.3333333333333</v>
      </c>
      <c r="K5" s="5">
        <v>12.537217322110131</v>
      </c>
      <c r="L5" s="6">
        <v>0.1166252774149779</v>
      </c>
      <c r="M5" s="6">
        <v>5.4263565891472743E-2</v>
      </c>
      <c r="N5">
        <v>0</v>
      </c>
      <c r="O5" t="s">
        <v>601</v>
      </c>
      <c r="P5" t="s">
        <v>602</v>
      </c>
      <c r="Q5" s="5">
        <v>105.3333333333333</v>
      </c>
      <c r="R5" s="7">
        <v>21</v>
      </c>
      <c r="S5" s="7">
        <v>27090</v>
      </c>
      <c r="T5">
        <v>4</v>
      </c>
      <c r="U5" s="6">
        <v>6.4093570461405097E-2</v>
      </c>
      <c r="V5" s="6">
        <v>0.30753084074250109</v>
      </c>
      <c r="W5" t="s">
        <v>54</v>
      </c>
    </row>
    <row r="6" spans="2:23">
      <c r="B6" t="s">
        <v>128</v>
      </c>
      <c r="C6" t="s">
        <v>129</v>
      </c>
      <c r="D6" t="s">
        <v>564</v>
      </c>
      <c r="E6" t="s">
        <v>560</v>
      </c>
      <c r="F6" t="s">
        <v>565</v>
      </c>
      <c r="G6">
        <v>138</v>
      </c>
      <c r="H6" s="5">
        <v>11.5</v>
      </c>
      <c r="I6" s="5">
        <v>5.5</v>
      </c>
      <c r="J6" s="5">
        <v>8.3333333333333339</v>
      </c>
      <c r="K6" s="5">
        <v>13.85968647159484</v>
      </c>
      <c r="L6" s="6">
        <v>1.205190127964769</v>
      </c>
      <c r="M6" s="6">
        <v>-0.27536231884057971</v>
      </c>
      <c r="N6">
        <v>6</v>
      </c>
      <c r="O6" t="s">
        <v>605</v>
      </c>
      <c r="P6" t="s">
        <v>606</v>
      </c>
      <c r="Q6" s="5">
        <v>0</v>
      </c>
      <c r="R6" s="7">
        <v>55</v>
      </c>
      <c r="S6" s="7">
        <v>7590</v>
      </c>
      <c r="T6">
        <v>22</v>
      </c>
      <c r="U6" s="6">
        <v>1.7957556286528779E-2</v>
      </c>
      <c r="V6" s="6">
        <v>0.96644965389708515</v>
      </c>
      <c r="W6" t="s">
        <v>57</v>
      </c>
    </row>
    <row r="7" spans="2:23">
      <c r="B7" t="s">
        <v>148</v>
      </c>
      <c r="C7" t="s">
        <v>149</v>
      </c>
      <c r="D7" t="s">
        <v>564</v>
      </c>
      <c r="E7" t="s">
        <v>566</v>
      </c>
      <c r="F7" t="s">
        <v>567</v>
      </c>
      <c r="G7">
        <v>201</v>
      </c>
      <c r="H7" s="5">
        <v>16.75</v>
      </c>
      <c r="I7" s="5">
        <v>11.83333333333333</v>
      </c>
      <c r="J7" s="5">
        <v>15.33333333333333</v>
      </c>
      <c r="K7" s="5">
        <v>7.2252713066393186</v>
      </c>
      <c r="L7" s="6">
        <v>0.43135948099339222</v>
      </c>
      <c r="M7" s="6">
        <v>-8.4577114427860645E-2</v>
      </c>
      <c r="N7">
        <v>1</v>
      </c>
      <c r="O7" t="s">
        <v>607</v>
      </c>
      <c r="P7" t="s">
        <v>602</v>
      </c>
      <c r="Q7" s="5">
        <v>11.83333333333333</v>
      </c>
      <c r="R7" s="7">
        <v>125</v>
      </c>
      <c r="S7" s="7">
        <v>25125</v>
      </c>
      <c r="T7">
        <v>6</v>
      </c>
      <c r="U7" s="6">
        <v>5.9444479802244481E-2</v>
      </c>
      <c r="V7" s="6">
        <v>0.42847107851568839</v>
      </c>
      <c r="W7" t="s">
        <v>54</v>
      </c>
    </row>
    <row r="8" spans="2:23">
      <c r="B8" t="s">
        <v>168</v>
      </c>
      <c r="C8" t="s">
        <v>169</v>
      </c>
      <c r="D8" t="s">
        <v>568</v>
      </c>
      <c r="E8" t="s">
        <v>560</v>
      </c>
      <c r="F8" t="s">
        <v>569</v>
      </c>
      <c r="G8">
        <v>495</v>
      </c>
      <c r="H8" s="5">
        <v>41.25</v>
      </c>
      <c r="I8" s="5">
        <v>37.333333333333343</v>
      </c>
      <c r="J8" s="5">
        <v>34</v>
      </c>
      <c r="K8" s="5">
        <v>8.894584665044027</v>
      </c>
      <c r="L8" s="6">
        <v>0.21562629491015819</v>
      </c>
      <c r="M8" s="6">
        <v>-0.17575757575757581</v>
      </c>
      <c r="N8">
        <v>0</v>
      </c>
      <c r="O8" t="s">
        <v>608</v>
      </c>
      <c r="P8" t="s">
        <v>602</v>
      </c>
      <c r="Q8" s="5">
        <v>37.333333333333343</v>
      </c>
      <c r="R8" s="7">
        <v>38</v>
      </c>
      <c r="S8" s="7">
        <v>18810</v>
      </c>
      <c r="T8">
        <v>9</v>
      </c>
      <c r="U8" s="6">
        <v>4.4503509057919152E-2</v>
      </c>
      <c r="V8" s="6">
        <v>0.58944554684544404</v>
      </c>
      <c r="W8" t="s">
        <v>54</v>
      </c>
    </row>
    <row r="9" spans="2:23">
      <c r="B9" t="s">
        <v>49</v>
      </c>
      <c r="C9" t="s">
        <v>188</v>
      </c>
      <c r="D9" t="s">
        <v>559</v>
      </c>
      <c r="E9" t="s">
        <v>560</v>
      </c>
      <c r="F9" t="s">
        <v>561</v>
      </c>
      <c r="G9">
        <v>1025</v>
      </c>
      <c r="H9" s="5">
        <v>85.416666666666671</v>
      </c>
      <c r="I9" s="5">
        <v>95</v>
      </c>
      <c r="J9" s="5">
        <v>99</v>
      </c>
      <c r="K9" s="5">
        <v>13.48708697797694</v>
      </c>
      <c r="L9" s="6">
        <v>0.15789760364460809</v>
      </c>
      <c r="M9" s="6">
        <v>0.15902439024390241</v>
      </c>
      <c r="N9">
        <v>0</v>
      </c>
      <c r="O9" t="s">
        <v>603</v>
      </c>
      <c r="P9" t="s">
        <v>604</v>
      </c>
      <c r="Q9" s="5">
        <v>99</v>
      </c>
      <c r="R9" s="7">
        <v>42</v>
      </c>
      <c r="S9" s="7">
        <v>43050</v>
      </c>
      <c r="T9">
        <v>1</v>
      </c>
      <c r="U9" s="6">
        <v>0.10185412360145769</v>
      </c>
      <c r="V9" s="6">
        <v>0.10185412360145769</v>
      </c>
      <c r="W9" t="s">
        <v>54</v>
      </c>
    </row>
    <row r="10" spans="2:23">
      <c r="B10" t="s">
        <v>207</v>
      </c>
      <c r="C10" t="s">
        <v>208</v>
      </c>
      <c r="D10" t="s">
        <v>559</v>
      </c>
      <c r="E10" t="s">
        <v>560</v>
      </c>
      <c r="F10" t="s">
        <v>561</v>
      </c>
      <c r="G10">
        <v>521</v>
      </c>
      <c r="H10" s="5">
        <v>43.416666666666657</v>
      </c>
      <c r="I10" s="5">
        <v>44</v>
      </c>
      <c r="J10" s="5">
        <v>49.333333333333343</v>
      </c>
      <c r="K10" s="5">
        <v>11.34947602581749</v>
      </c>
      <c r="L10" s="6">
        <v>0.26140827698619951</v>
      </c>
      <c r="M10" s="6">
        <v>0.1362763915547025</v>
      </c>
      <c r="N10">
        <v>0</v>
      </c>
      <c r="O10" t="s">
        <v>607</v>
      </c>
      <c r="P10" t="s">
        <v>602</v>
      </c>
      <c r="Q10" s="5">
        <v>44</v>
      </c>
      <c r="R10" s="7">
        <v>48</v>
      </c>
      <c r="S10" s="7">
        <v>25008</v>
      </c>
      <c r="T10">
        <v>7</v>
      </c>
      <c r="U10" s="6">
        <v>5.9167663717195222E-2</v>
      </c>
      <c r="V10" s="6">
        <v>0.48763874223288373</v>
      </c>
      <c r="W10" t="s">
        <v>54</v>
      </c>
    </row>
    <row r="11" spans="2:23">
      <c r="B11" t="s">
        <v>40</v>
      </c>
      <c r="C11" t="s">
        <v>227</v>
      </c>
      <c r="D11" t="s">
        <v>570</v>
      </c>
      <c r="E11" t="s">
        <v>560</v>
      </c>
      <c r="F11" t="s">
        <v>571</v>
      </c>
      <c r="G11">
        <v>3040</v>
      </c>
      <c r="H11" s="5">
        <v>253.33333333333329</v>
      </c>
      <c r="I11" s="5">
        <v>252.66666666666671</v>
      </c>
      <c r="J11" s="5">
        <v>244.33333333333329</v>
      </c>
      <c r="K11" s="5">
        <v>44.089440775301149</v>
      </c>
      <c r="L11" s="6">
        <v>0.17403726621829399</v>
      </c>
      <c r="M11" s="6">
        <v>-3.5526315789473628E-2</v>
      </c>
      <c r="N11">
        <v>0</v>
      </c>
      <c r="O11" t="s">
        <v>601</v>
      </c>
      <c r="P11" t="s">
        <v>602</v>
      </c>
      <c r="Q11" s="5">
        <v>252.66666666666671</v>
      </c>
      <c r="R11" s="7">
        <v>3.8</v>
      </c>
      <c r="S11" s="7">
        <v>11552</v>
      </c>
      <c r="T11">
        <v>17</v>
      </c>
      <c r="U11" s="6">
        <v>2.73314479870857E-2</v>
      </c>
      <c r="V11" s="6">
        <v>0.8620469295536185</v>
      </c>
      <c r="W11" t="s">
        <v>56</v>
      </c>
    </row>
    <row r="12" spans="2:23">
      <c r="B12" t="s">
        <v>246</v>
      </c>
      <c r="C12" t="s">
        <v>247</v>
      </c>
      <c r="D12" t="s">
        <v>572</v>
      </c>
      <c r="E12" t="s">
        <v>560</v>
      </c>
      <c r="F12" t="s">
        <v>573</v>
      </c>
      <c r="G12">
        <v>793</v>
      </c>
      <c r="H12" s="5">
        <v>66.083333333333329</v>
      </c>
      <c r="I12" s="5">
        <v>35.5</v>
      </c>
      <c r="J12" s="5">
        <v>71</v>
      </c>
      <c r="K12" s="5">
        <v>65.08380378520846</v>
      </c>
      <c r="L12" s="6">
        <v>0.98487471049495789</v>
      </c>
      <c r="M12" s="6">
        <v>7.4401008827238435E-2</v>
      </c>
      <c r="N12">
        <v>4</v>
      </c>
      <c r="O12" t="s">
        <v>605</v>
      </c>
      <c r="P12" t="s">
        <v>606</v>
      </c>
      <c r="Q12" s="5">
        <v>0</v>
      </c>
      <c r="R12" s="7">
        <v>8.5</v>
      </c>
      <c r="S12" s="7">
        <v>6740.5</v>
      </c>
      <c r="T12">
        <v>24</v>
      </c>
      <c r="U12" s="6">
        <v>1.594768223311558E-2</v>
      </c>
      <c r="V12" s="6">
        <v>0.99999999999999967</v>
      </c>
      <c r="W12" t="s">
        <v>57</v>
      </c>
    </row>
    <row r="13" spans="2:23">
      <c r="B13" t="s">
        <v>266</v>
      </c>
      <c r="C13" t="s">
        <v>267</v>
      </c>
      <c r="D13" t="s">
        <v>568</v>
      </c>
      <c r="E13" t="s">
        <v>560</v>
      </c>
      <c r="F13" t="s">
        <v>565</v>
      </c>
      <c r="G13">
        <v>488</v>
      </c>
      <c r="H13" s="5">
        <v>40.666666666666657</v>
      </c>
      <c r="I13" s="5">
        <v>28.833333333333329</v>
      </c>
      <c r="J13" s="5">
        <v>37.333333333333343</v>
      </c>
      <c r="K13" s="5">
        <v>37.847380918951878</v>
      </c>
      <c r="L13" s="6">
        <v>0.93067330128570191</v>
      </c>
      <c r="M13" s="6">
        <v>-8.1967213114753967E-2</v>
      </c>
      <c r="N13">
        <v>1</v>
      </c>
      <c r="O13" t="s">
        <v>609</v>
      </c>
      <c r="P13" t="s">
        <v>606</v>
      </c>
      <c r="Q13" s="5">
        <v>29.5</v>
      </c>
      <c r="R13" s="7">
        <v>32</v>
      </c>
      <c r="S13" s="7">
        <v>15616</v>
      </c>
      <c r="T13">
        <v>12</v>
      </c>
      <c r="U13" s="6">
        <v>3.6946666531018899E-2</v>
      </c>
      <c r="V13" s="6">
        <v>0.70769806604926411</v>
      </c>
      <c r="W13" t="s">
        <v>54</v>
      </c>
    </row>
    <row r="14" spans="2:23">
      <c r="B14" t="s">
        <v>286</v>
      </c>
      <c r="C14" t="s">
        <v>287</v>
      </c>
      <c r="D14" t="s">
        <v>574</v>
      </c>
      <c r="E14" t="s">
        <v>560</v>
      </c>
      <c r="F14" t="s">
        <v>575</v>
      </c>
      <c r="G14">
        <v>189</v>
      </c>
      <c r="H14" s="5">
        <v>15.75</v>
      </c>
      <c r="I14" s="5">
        <v>13.66666666666667</v>
      </c>
      <c r="J14" s="5">
        <v>14</v>
      </c>
      <c r="K14" s="5">
        <v>3.1079078025403049</v>
      </c>
      <c r="L14" s="6">
        <v>0.19732747952636859</v>
      </c>
      <c r="M14" s="6">
        <v>-0.1111111111111112</v>
      </c>
      <c r="N14">
        <v>0</v>
      </c>
      <c r="O14" t="s">
        <v>601</v>
      </c>
      <c r="P14" t="s">
        <v>602</v>
      </c>
      <c r="Q14" s="5">
        <v>13.66666666666667</v>
      </c>
      <c r="R14" s="7">
        <v>78</v>
      </c>
      <c r="S14" s="7">
        <v>14742</v>
      </c>
      <c r="T14">
        <v>13</v>
      </c>
      <c r="U14" s="6">
        <v>3.4878826716206492E-2</v>
      </c>
      <c r="V14" s="6">
        <v>0.74257689276547056</v>
      </c>
      <c r="W14" t="s">
        <v>54</v>
      </c>
    </row>
    <row r="15" spans="2:23">
      <c r="B15" t="s">
        <v>306</v>
      </c>
      <c r="C15" t="s">
        <v>307</v>
      </c>
      <c r="D15" t="s">
        <v>574</v>
      </c>
      <c r="E15" t="s">
        <v>566</v>
      </c>
      <c r="F15" t="s">
        <v>576</v>
      </c>
      <c r="G15">
        <v>87</v>
      </c>
      <c r="H15" s="5">
        <v>7.25</v>
      </c>
      <c r="I15" s="5">
        <v>8.6666666666666661</v>
      </c>
      <c r="J15" s="5">
        <v>9.3333333333333339</v>
      </c>
      <c r="K15" s="5">
        <v>3.467380462644281</v>
      </c>
      <c r="L15" s="6">
        <v>0.47825937415783187</v>
      </c>
      <c r="M15" s="6">
        <v>0.28735632183908039</v>
      </c>
      <c r="N15">
        <v>0</v>
      </c>
      <c r="O15" t="s">
        <v>603</v>
      </c>
      <c r="P15" t="s">
        <v>604</v>
      </c>
      <c r="Q15" s="5">
        <v>9.3333333333333339</v>
      </c>
      <c r="R15" s="7">
        <v>210</v>
      </c>
      <c r="S15" s="7">
        <v>18270</v>
      </c>
      <c r="T15">
        <v>10</v>
      </c>
      <c r="U15" s="6">
        <v>4.3225896357691813E-2</v>
      </c>
      <c r="V15" s="6">
        <v>0.63267144320313584</v>
      </c>
      <c r="W15" t="s">
        <v>54</v>
      </c>
    </row>
    <row r="16" spans="2:23">
      <c r="B16" t="s">
        <v>53</v>
      </c>
      <c r="C16" t="s">
        <v>326</v>
      </c>
      <c r="D16" t="s">
        <v>574</v>
      </c>
      <c r="E16" t="s">
        <v>560</v>
      </c>
      <c r="F16" t="s">
        <v>577</v>
      </c>
      <c r="G16">
        <v>667</v>
      </c>
      <c r="H16" s="5">
        <v>55.583333333333343</v>
      </c>
      <c r="I16" s="5">
        <v>53.833333333333343</v>
      </c>
      <c r="J16" s="5">
        <v>53.333333333333343</v>
      </c>
      <c r="K16" s="5">
        <v>12.11654266119697</v>
      </c>
      <c r="L16" s="6">
        <v>0.21798877351478799</v>
      </c>
      <c r="M16" s="6">
        <v>-4.0479760119940027E-2</v>
      </c>
      <c r="N16">
        <v>0</v>
      </c>
      <c r="O16" t="s">
        <v>601</v>
      </c>
      <c r="P16" t="s">
        <v>602</v>
      </c>
      <c r="Q16" s="5">
        <v>53.833333333333343</v>
      </c>
      <c r="R16" s="7">
        <v>14</v>
      </c>
      <c r="S16" s="7">
        <v>9338</v>
      </c>
      <c r="T16">
        <v>20</v>
      </c>
      <c r="U16" s="6">
        <v>2.209323591615359E-2</v>
      </c>
      <c r="V16" s="6">
        <v>0.92988153927724482</v>
      </c>
      <c r="W16" t="s">
        <v>56</v>
      </c>
    </row>
    <row r="17" spans="2:23">
      <c r="B17" t="s">
        <v>55</v>
      </c>
      <c r="C17" t="s">
        <v>346</v>
      </c>
      <c r="D17" t="s">
        <v>574</v>
      </c>
      <c r="E17" t="s">
        <v>560</v>
      </c>
      <c r="F17" t="s">
        <v>577</v>
      </c>
      <c r="G17">
        <v>586</v>
      </c>
      <c r="H17" s="5">
        <v>48.833333333333343</v>
      </c>
      <c r="I17" s="5">
        <v>48.166666666666657</v>
      </c>
      <c r="J17" s="5">
        <v>49</v>
      </c>
      <c r="K17" s="5">
        <v>10.196553190647171</v>
      </c>
      <c r="L17" s="6">
        <v>0.2088031370098396</v>
      </c>
      <c r="M17" s="6">
        <v>3.4129692832765009E-3</v>
      </c>
      <c r="N17">
        <v>0</v>
      </c>
      <c r="O17" t="s">
        <v>601</v>
      </c>
      <c r="P17" t="s">
        <v>602</v>
      </c>
      <c r="Q17" s="5">
        <v>48.166666666666657</v>
      </c>
      <c r="R17" s="7">
        <v>16</v>
      </c>
      <c r="S17" s="7">
        <v>9376</v>
      </c>
      <c r="T17">
        <v>19</v>
      </c>
      <c r="U17" s="6">
        <v>2.218314199505848E-2</v>
      </c>
      <c r="V17" s="6">
        <v>0.90778830336109118</v>
      </c>
      <c r="W17" t="s">
        <v>56</v>
      </c>
    </row>
    <row r="18" spans="2:23">
      <c r="B18" t="s">
        <v>365</v>
      </c>
      <c r="C18" t="s">
        <v>366</v>
      </c>
      <c r="D18" t="s">
        <v>574</v>
      </c>
      <c r="E18" t="s">
        <v>560</v>
      </c>
      <c r="F18" t="s">
        <v>578</v>
      </c>
      <c r="G18">
        <v>171</v>
      </c>
      <c r="H18" s="5">
        <v>14.25</v>
      </c>
      <c r="I18" s="5">
        <v>17.666666666666671</v>
      </c>
      <c r="J18" s="5">
        <v>16.666666666666671</v>
      </c>
      <c r="K18" s="5">
        <v>11.863810517704669</v>
      </c>
      <c r="L18" s="6">
        <v>0.83254810650559108</v>
      </c>
      <c r="M18" s="6">
        <v>0.16959064327485401</v>
      </c>
      <c r="N18">
        <v>4</v>
      </c>
      <c r="O18" t="s">
        <v>605</v>
      </c>
      <c r="P18" t="s">
        <v>606</v>
      </c>
      <c r="Q18" s="5">
        <v>21.5</v>
      </c>
      <c r="R18" s="7">
        <v>46</v>
      </c>
      <c r="S18" s="7">
        <v>7866</v>
      </c>
      <c r="T18">
        <v>21</v>
      </c>
      <c r="U18" s="6">
        <v>1.8610558333311641E-2</v>
      </c>
      <c r="V18" s="6">
        <v>0.94849209761055642</v>
      </c>
      <c r="W18" t="s">
        <v>56</v>
      </c>
    </row>
    <row r="19" spans="2:23">
      <c r="B19" t="s">
        <v>385</v>
      </c>
      <c r="C19" t="s">
        <v>386</v>
      </c>
      <c r="D19" t="s">
        <v>574</v>
      </c>
      <c r="E19" t="s">
        <v>566</v>
      </c>
      <c r="F19" t="s">
        <v>579</v>
      </c>
      <c r="G19">
        <v>131</v>
      </c>
      <c r="H19" s="5">
        <v>10.91666666666667</v>
      </c>
      <c r="I19" s="5">
        <v>10.5</v>
      </c>
      <c r="J19" s="5">
        <v>10.33333333333333</v>
      </c>
      <c r="K19" s="5">
        <v>7.6569437688145454</v>
      </c>
      <c r="L19" s="6">
        <v>0.7013994292043858</v>
      </c>
      <c r="M19" s="6">
        <v>-5.3435114503816661E-2</v>
      </c>
      <c r="N19">
        <v>0</v>
      </c>
      <c r="O19" t="s">
        <v>607</v>
      </c>
      <c r="P19" t="s">
        <v>602</v>
      </c>
      <c r="Q19" s="5">
        <v>10.5</v>
      </c>
      <c r="R19" s="7">
        <v>95</v>
      </c>
      <c r="S19" s="7">
        <v>12445</v>
      </c>
      <c r="T19">
        <v>16</v>
      </c>
      <c r="U19" s="6">
        <v>2.9444240841350552E-2</v>
      </c>
      <c r="V19" s="6">
        <v>0.83471548156653275</v>
      </c>
      <c r="W19" t="s">
        <v>56</v>
      </c>
    </row>
    <row r="20" spans="2:23">
      <c r="B20" t="s">
        <v>37</v>
      </c>
      <c r="C20" t="s">
        <v>405</v>
      </c>
      <c r="D20" t="s">
        <v>580</v>
      </c>
      <c r="E20" t="s">
        <v>560</v>
      </c>
      <c r="F20" t="s">
        <v>582</v>
      </c>
      <c r="G20">
        <v>6383</v>
      </c>
      <c r="H20" s="5">
        <v>531.91666666666663</v>
      </c>
      <c r="I20" s="5">
        <v>478.66666666666669</v>
      </c>
      <c r="J20" s="5">
        <v>486</v>
      </c>
      <c r="K20" s="5">
        <v>93.236218414532587</v>
      </c>
      <c r="L20" s="6">
        <v>0.17528350634096679</v>
      </c>
      <c r="M20" s="6">
        <v>-8.6323045589847935E-2</v>
      </c>
      <c r="N20">
        <v>0</v>
      </c>
      <c r="O20" t="s">
        <v>601</v>
      </c>
      <c r="P20" t="s">
        <v>602</v>
      </c>
      <c r="Q20" s="5">
        <v>478.66666666666669</v>
      </c>
      <c r="R20" s="7">
        <v>2.2000000000000002</v>
      </c>
      <c r="S20" s="7">
        <v>14042.6</v>
      </c>
      <c r="T20">
        <v>14</v>
      </c>
      <c r="U20" s="6">
        <v>3.3224081674467602E-2</v>
      </c>
      <c r="V20" s="6">
        <v>0.77580097443993812</v>
      </c>
      <c r="W20" t="s">
        <v>54</v>
      </c>
    </row>
    <row r="21" spans="2:23">
      <c r="B21" t="s">
        <v>34</v>
      </c>
      <c r="C21" t="s">
        <v>424</v>
      </c>
      <c r="D21" t="s">
        <v>580</v>
      </c>
      <c r="E21" t="s">
        <v>560</v>
      </c>
      <c r="F21" t="s">
        <v>582</v>
      </c>
      <c r="G21">
        <v>6920</v>
      </c>
      <c r="H21" s="5">
        <v>576.66666666666663</v>
      </c>
      <c r="I21" s="5">
        <v>645.5</v>
      </c>
      <c r="J21" s="5">
        <v>635</v>
      </c>
      <c r="K21" s="5">
        <v>139.5989927896286</v>
      </c>
      <c r="L21" s="6">
        <v>0.24207917824791089</v>
      </c>
      <c r="M21" s="6">
        <v>0.10115606936416199</v>
      </c>
      <c r="N21">
        <v>0</v>
      </c>
      <c r="O21" t="s">
        <v>601</v>
      </c>
      <c r="P21" t="s">
        <v>602</v>
      </c>
      <c r="Q21" s="5">
        <v>645.5</v>
      </c>
      <c r="R21" s="7">
        <v>1.8</v>
      </c>
      <c r="S21" s="7">
        <v>12456</v>
      </c>
      <c r="T21">
        <v>15</v>
      </c>
      <c r="U21" s="6">
        <v>2.947026628524407E-2</v>
      </c>
      <c r="V21" s="6">
        <v>0.80527124072518219</v>
      </c>
      <c r="W21" t="s">
        <v>56</v>
      </c>
    </row>
    <row r="22" spans="2:23">
      <c r="B22" t="s">
        <v>443</v>
      </c>
      <c r="C22" t="s">
        <v>444</v>
      </c>
      <c r="D22" t="s">
        <v>570</v>
      </c>
      <c r="E22" t="s">
        <v>560</v>
      </c>
      <c r="F22" t="s">
        <v>567</v>
      </c>
      <c r="G22">
        <v>555</v>
      </c>
      <c r="H22" s="5">
        <v>46.25</v>
      </c>
      <c r="I22" s="5">
        <v>44.5</v>
      </c>
      <c r="J22" s="5">
        <v>44.666666666666657</v>
      </c>
      <c r="K22" s="5">
        <v>8.8638694608044535</v>
      </c>
      <c r="L22" s="6">
        <v>0.1916512315849612</v>
      </c>
      <c r="M22" s="6">
        <v>-3.4234234234234329E-2</v>
      </c>
      <c r="N22">
        <v>0</v>
      </c>
      <c r="O22" t="s">
        <v>601</v>
      </c>
      <c r="P22" t="s">
        <v>602</v>
      </c>
      <c r="Q22" s="5">
        <v>44.5</v>
      </c>
      <c r="R22" s="7">
        <v>29</v>
      </c>
      <c r="S22" s="7">
        <v>16095</v>
      </c>
      <c r="T22">
        <v>11</v>
      </c>
      <c r="U22" s="6">
        <v>3.8079956315109451E-2</v>
      </c>
      <c r="V22" s="6">
        <v>0.67075139951824525</v>
      </c>
      <c r="W22" t="s">
        <v>54</v>
      </c>
    </row>
    <row r="23" spans="2:23">
      <c r="B23" t="s">
        <v>463</v>
      </c>
      <c r="C23" t="s">
        <v>464</v>
      </c>
      <c r="D23" t="s">
        <v>574</v>
      </c>
      <c r="E23" t="s">
        <v>560</v>
      </c>
      <c r="F23" t="s">
        <v>583</v>
      </c>
      <c r="G23">
        <v>173</v>
      </c>
      <c r="H23" s="5">
        <v>14.41666666666667</v>
      </c>
      <c r="I23" s="5">
        <v>14.5</v>
      </c>
      <c r="J23" s="5">
        <v>15</v>
      </c>
      <c r="K23" s="5">
        <v>3.028901190901153</v>
      </c>
      <c r="L23" s="6">
        <v>0.21009719243245001</v>
      </c>
      <c r="M23" s="6">
        <v>4.0462427745664893E-2</v>
      </c>
      <c r="N23">
        <v>0</v>
      </c>
      <c r="O23" t="s">
        <v>601</v>
      </c>
      <c r="P23" t="s">
        <v>602</v>
      </c>
      <c r="Q23" s="5">
        <v>14.5</v>
      </c>
      <c r="R23" s="7">
        <v>140</v>
      </c>
      <c r="S23" s="7">
        <v>24220</v>
      </c>
      <c r="T23">
        <v>8</v>
      </c>
      <c r="U23" s="6">
        <v>5.7303295554641247E-2</v>
      </c>
      <c r="V23" s="6">
        <v>0.54494203778752492</v>
      </c>
      <c r="W23" t="s">
        <v>54</v>
      </c>
    </row>
    <row r="24" spans="2:23">
      <c r="B24" t="s">
        <v>483</v>
      </c>
      <c r="C24" t="s">
        <v>484</v>
      </c>
      <c r="D24" t="s">
        <v>574</v>
      </c>
      <c r="E24" t="s">
        <v>566</v>
      </c>
      <c r="F24" t="s">
        <v>583</v>
      </c>
      <c r="G24">
        <v>24</v>
      </c>
      <c r="H24" s="5">
        <v>2</v>
      </c>
      <c r="I24" s="5">
        <v>2.333333333333333</v>
      </c>
      <c r="J24" s="5">
        <v>2</v>
      </c>
      <c r="K24" s="5">
        <v>2.088931871468374</v>
      </c>
      <c r="L24" s="6">
        <v>1.044465935734187</v>
      </c>
      <c r="M24" s="6">
        <v>0</v>
      </c>
      <c r="N24">
        <v>5</v>
      </c>
      <c r="O24" t="s">
        <v>605</v>
      </c>
      <c r="P24" t="s">
        <v>606</v>
      </c>
      <c r="Q24" s="5">
        <v>2</v>
      </c>
      <c r="R24" s="7">
        <v>310</v>
      </c>
      <c r="S24" s="7">
        <v>7440</v>
      </c>
      <c r="T24">
        <v>23</v>
      </c>
      <c r="U24" s="6">
        <v>1.760266386979896E-2</v>
      </c>
      <c r="V24" s="6">
        <v>0.98405231776688407</v>
      </c>
      <c r="W24" t="s">
        <v>57</v>
      </c>
    </row>
    <row r="25" spans="2:23">
      <c r="B25" t="s">
        <v>503</v>
      </c>
      <c r="C25" t="s">
        <v>504</v>
      </c>
      <c r="D25" t="s">
        <v>574</v>
      </c>
      <c r="E25" t="s">
        <v>560</v>
      </c>
      <c r="F25" t="s">
        <v>576</v>
      </c>
      <c r="G25">
        <v>183</v>
      </c>
      <c r="H25" s="5">
        <v>15.25</v>
      </c>
      <c r="I25" s="5">
        <v>13.33333333333333</v>
      </c>
      <c r="J25" s="5">
        <v>13.66666666666667</v>
      </c>
      <c r="K25" s="5">
        <v>11.7405668130167</v>
      </c>
      <c r="L25" s="6">
        <v>0.76987323364043925</v>
      </c>
      <c r="M25" s="6">
        <v>-0.1038251366120219</v>
      </c>
      <c r="N25">
        <v>1</v>
      </c>
      <c r="O25" t="s">
        <v>609</v>
      </c>
      <c r="P25" t="s">
        <v>606</v>
      </c>
      <c r="Q25" s="5">
        <v>14</v>
      </c>
      <c r="R25" s="7">
        <v>160</v>
      </c>
      <c r="S25" s="7">
        <v>29280</v>
      </c>
      <c r="T25">
        <v>3</v>
      </c>
      <c r="U25" s="6">
        <v>6.927499974566044E-2</v>
      </c>
      <c r="V25" s="6">
        <v>0.2434372702810961</v>
      </c>
      <c r="W25" t="s">
        <v>54</v>
      </c>
    </row>
    <row r="26" spans="2:23">
      <c r="B26" t="s">
        <v>43</v>
      </c>
      <c r="C26" t="s">
        <v>523</v>
      </c>
      <c r="D26" t="s">
        <v>572</v>
      </c>
      <c r="E26" t="s">
        <v>560</v>
      </c>
      <c r="F26" t="s">
        <v>571</v>
      </c>
      <c r="G26">
        <v>2263</v>
      </c>
      <c r="H26" s="5">
        <v>188.58333333333329</v>
      </c>
      <c r="I26" s="5">
        <v>180</v>
      </c>
      <c r="J26" s="5">
        <v>186.33333333333329</v>
      </c>
      <c r="K26" s="5">
        <v>44.276934962765537</v>
      </c>
      <c r="L26" s="6">
        <v>0.23478710541457651</v>
      </c>
      <c r="M26" s="6">
        <v>-1.1931064958020319E-2</v>
      </c>
      <c r="N26">
        <v>0</v>
      </c>
      <c r="O26" t="s">
        <v>601</v>
      </c>
      <c r="P26" t="s">
        <v>602</v>
      </c>
      <c r="Q26" s="5">
        <v>180</v>
      </c>
      <c r="R26" s="7">
        <v>4.4000000000000004</v>
      </c>
      <c r="S26" s="7">
        <v>9957.2000000000007</v>
      </c>
      <c r="T26">
        <v>18</v>
      </c>
      <c r="U26" s="6">
        <v>2.3558231812414281E-2</v>
      </c>
      <c r="V26" s="6">
        <v>0.88560516136603273</v>
      </c>
      <c r="W26" t="s">
        <v>56</v>
      </c>
    </row>
    <row r="27" spans="2:23">
      <c r="H27" s="5"/>
      <c r="I27" s="5"/>
      <c r="J27" s="5"/>
      <c r="K27" s="5"/>
      <c r="L27" s="6"/>
      <c r="M27" s="6"/>
      <c r="Q27" s="5"/>
      <c r="R27" s="7"/>
      <c r="S27" s="7"/>
      <c r="U27" s="6"/>
      <c r="V27" s="6"/>
    </row>
    <row r="28" spans="2:23">
      <c r="H28" s="5"/>
      <c r="I28" s="5"/>
      <c r="J28" s="5"/>
      <c r="K28" s="5"/>
      <c r="L28" s="6"/>
      <c r="M28" s="6"/>
      <c r="Q28" s="5"/>
      <c r="R28" s="7"/>
      <c r="S28" s="7"/>
      <c r="U28" s="6"/>
      <c r="V28" s="6"/>
    </row>
    <row r="29" spans="2:23">
      <c r="H29" s="5"/>
      <c r="I29" s="5"/>
      <c r="J29" s="5"/>
      <c r="K29" s="5"/>
      <c r="L29" s="6"/>
      <c r="M29" s="6"/>
      <c r="Q29" s="5"/>
      <c r="R29" s="7"/>
      <c r="S29" s="7"/>
      <c r="U29" s="6"/>
      <c r="V29" s="6"/>
    </row>
    <row r="30" spans="2:23">
      <c r="H30" s="5"/>
      <c r="I30" s="5"/>
      <c r="J30" s="5"/>
      <c r="K30" s="5"/>
      <c r="L30" s="6"/>
      <c r="M30" s="6"/>
      <c r="Q30" s="5"/>
      <c r="R30" s="7"/>
      <c r="S30" s="7"/>
      <c r="U30" s="6"/>
      <c r="V30" s="6"/>
    </row>
    <row r="31" spans="2:23">
      <c r="H31" s="5"/>
      <c r="I31" s="5"/>
      <c r="J31" s="5"/>
      <c r="K31" s="5"/>
      <c r="L31" s="6"/>
      <c r="M31" s="6"/>
      <c r="Q31" s="5"/>
      <c r="R31" s="7"/>
      <c r="S31" s="7"/>
      <c r="U31" s="6"/>
      <c r="V31" s="6"/>
    </row>
    <row r="32" spans="2:23">
      <c r="H32" s="5"/>
      <c r="I32" s="5"/>
      <c r="J32" s="5"/>
      <c r="K32" s="5"/>
      <c r="L32" s="6"/>
      <c r="M32" s="6"/>
      <c r="Q32" s="5"/>
      <c r="R32" s="7"/>
      <c r="S32" s="7"/>
      <c r="U32" s="6"/>
      <c r="V32" s="6"/>
    </row>
    <row r="33" spans="8:22">
      <c r="H33" s="5"/>
      <c r="I33" s="5"/>
      <c r="J33" s="5"/>
      <c r="K33" s="5"/>
      <c r="L33" s="6"/>
      <c r="M33" s="6"/>
      <c r="Q33" s="5"/>
      <c r="R33" s="7"/>
      <c r="S33" s="7"/>
      <c r="U33" s="6"/>
      <c r="V33" s="6"/>
    </row>
    <row r="34" spans="8:22">
      <c r="H34" s="5"/>
      <c r="I34" s="5"/>
      <c r="J34" s="5"/>
      <c r="K34" s="5"/>
      <c r="L34" s="6"/>
      <c r="M34" s="6"/>
      <c r="Q34" s="5"/>
      <c r="R34" s="7"/>
      <c r="S34" s="7"/>
      <c r="U34" s="6"/>
      <c r="V34" s="6"/>
    </row>
    <row r="35" spans="8:22">
      <c r="H35" s="5"/>
      <c r="I35" s="5"/>
      <c r="J35" s="5"/>
      <c r="K35" s="5"/>
      <c r="L35" s="6"/>
      <c r="M35" s="6"/>
      <c r="Q35" s="5"/>
      <c r="R35" s="7"/>
      <c r="S35" s="7"/>
      <c r="U35" s="6"/>
      <c r="V35" s="6"/>
    </row>
    <row r="36" spans="8:22">
      <c r="H36" s="5"/>
      <c r="I36" s="5"/>
      <c r="J36" s="5"/>
      <c r="K36" s="5"/>
      <c r="L36" s="6"/>
      <c r="M36" s="6"/>
      <c r="Q36" s="5"/>
      <c r="R36" s="7"/>
      <c r="S36" s="7"/>
      <c r="U36" s="6"/>
      <c r="V36" s="6"/>
    </row>
    <row r="37" spans="8:22">
      <c r="H37" s="5"/>
      <c r="I37" s="5"/>
      <c r="J37" s="5"/>
      <c r="K37" s="5"/>
      <c r="L37" s="6"/>
      <c r="M37" s="6"/>
      <c r="Q37" s="5"/>
      <c r="R37" s="7"/>
      <c r="S37" s="7"/>
      <c r="U37" s="6"/>
      <c r="V37" s="6"/>
    </row>
    <row r="38" spans="8:22">
      <c r="H38" s="5"/>
      <c r="I38" s="5"/>
      <c r="J38" s="5"/>
      <c r="K38" s="5"/>
      <c r="L38" s="6"/>
      <c r="M38" s="6"/>
      <c r="Q38" s="5"/>
      <c r="R38" s="7"/>
      <c r="S38" s="7"/>
      <c r="U38" s="6"/>
      <c r="V38" s="6"/>
    </row>
    <row r="39" spans="8:22">
      <c r="H39" s="5"/>
      <c r="I39" s="5"/>
      <c r="J39" s="5"/>
      <c r="K39" s="5"/>
      <c r="L39" s="6"/>
      <c r="M39" s="6"/>
      <c r="Q39" s="5"/>
      <c r="R39" s="7"/>
      <c r="S39" s="7"/>
      <c r="U39" s="6"/>
      <c r="V39" s="6"/>
    </row>
    <row r="40" spans="8:22">
      <c r="H40" s="5"/>
      <c r="I40" s="5"/>
      <c r="J40" s="5"/>
      <c r="K40" s="5"/>
      <c r="L40" s="6"/>
      <c r="M40" s="6"/>
      <c r="Q40" s="5"/>
      <c r="R40" s="7"/>
      <c r="S40" s="7"/>
      <c r="U40" s="6"/>
      <c r="V40" s="6"/>
    </row>
    <row r="41" spans="8:22">
      <c r="H41" s="5"/>
      <c r="I41" s="5"/>
      <c r="J41" s="5"/>
      <c r="K41" s="5"/>
      <c r="L41" s="6"/>
      <c r="M41" s="6"/>
      <c r="Q41" s="5"/>
      <c r="R41" s="7"/>
      <c r="S41" s="7"/>
      <c r="U41" s="6"/>
      <c r="V41" s="6"/>
    </row>
    <row r="42" spans="8:22">
      <c r="H42" s="5"/>
      <c r="I42" s="5"/>
      <c r="J42" s="5"/>
      <c r="K42" s="5"/>
      <c r="L42" s="6"/>
      <c r="M42" s="6"/>
      <c r="Q42" s="5"/>
      <c r="R42" s="7"/>
      <c r="S42" s="7"/>
      <c r="U42" s="6"/>
      <c r="V42" s="6"/>
    </row>
    <row r="43" spans="8:22">
      <c r="H43" s="5"/>
      <c r="I43" s="5"/>
      <c r="J43" s="5"/>
      <c r="K43" s="5"/>
      <c r="L43" s="6"/>
      <c r="M43" s="6"/>
      <c r="Q43" s="5"/>
      <c r="R43" s="7"/>
      <c r="S43" s="7"/>
      <c r="U43" s="6"/>
      <c r="V43" s="6"/>
    </row>
    <row r="44" spans="8:22">
      <c r="H44" s="5"/>
      <c r="I44" s="5"/>
      <c r="J44" s="5"/>
      <c r="K44" s="5"/>
      <c r="L44" s="6"/>
      <c r="M44" s="6"/>
      <c r="Q44" s="5"/>
      <c r="R44" s="7"/>
      <c r="S44" s="7"/>
      <c r="U44" s="6"/>
      <c r="V44" s="6"/>
    </row>
    <row r="45" spans="8:22">
      <c r="H45" s="5"/>
      <c r="I45" s="5"/>
      <c r="J45" s="5"/>
      <c r="K45" s="5"/>
      <c r="L45" s="6"/>
      <c r="M45" s="6"/>
      <c r="Q45" s="5"/>
      <c r="R45" s="7"/>
      <c r="S45" s="7"/>
      <c r="U45" s="6"/>
      <c r="V45" s="6"/>
    </row>
    <row r="46" spans="8:22">
      <c r="H46" s="5"/>
      <c r="I46" s="5"/>
      <c r="J46" s="5"/>
      <c r="K46" s="5"/>
      <c r="L46" s="6"/>
      <c r="M46" s="6"/>
      <c r="Q46" s="5"/>
      <c r="R46" s="7"/>
      <c r="S46" s="7"/>
      <c r="U46" s="6"/>
      <c r="V46" s="6"/>
    </row>
    <row r="47" spans="8:22">
      <c r="H47" s="5"/>
      <c r="I47" s="5"/>
      <c r="J47" s="5"/>
      <c r="K47" s="5"/>
      <c r="L47" s="6"/>
      <c r="M47" s="6"/>
      <c r="Q47" s="5"/>
      <c r="R47" s="7"/>
      <c r="S47" s="7"/>
      <c r="U47" s="6"/>
      <c r="V47" s="6"/>
    </row>
    <row r="48" spans="8:22">
      <c r="H48" s="5"/>
      <c r="I48" s="5"/>
      <c r="J48" s="5"/>
      <c r="K48" s="5"/>
      <c r="L48" s="6"/>
      <c r="M48" s="6"/>
      <c r="Q48" s="5"/>
      <c r="R48" s="7"/>
      <c r="S48" s="7"/>
      <c r="U48" s="6"/>
      <c r="V48" s="6"/>
    </row>
    <row r="49" spans="8:22">
      <c r="H49" s="5"/>
      <c r="I49" s="5"/>
      <c r="J49" s="5"/>
      <c r="K49" s="5"/>
      <c r="L49" s="6"/>
      <c r="M49" s="6"/>
      <c r="Q49" s="5"/>
      <c r="R49" s="7"/>
      <c r="S49" s="7"/>
      <c r="U49" s="6"/>
      <c r="V49" s="6"/>
    </row>
    <row r="50" spans="8:22">
      <c r="H50" s="5"/>
      <c r="I50" s="5"/>
      <c r="J50" s="5"/>
      <c r="K50" s="5"/>
      <c r="L50" s="6"/>
      <c r="M50" s="6"/>
      <c r="Q50" s="5"/>
      <c r="R50" s="7"/>
      <c r="S50" s="7"/>
      <c r="U50" s="6"/>
      <c r="V50" s="6"/>
    </row>
    <row r="51" spans="8:22">
      <c r="H51" s="5"/>
      <c r="I51" s="5"/>
      <c r="J51" s="5"/>
      <c r="K51" s="5"/>
      <c r="L51" s="6"/>
      <c r="M51" s="6"/>
      <c r="Q51" s="5"/>
      <c r="R51" s="7"/>
      <c r="S51" s="7"/>
      <c r="U51" s="6"/>
      <c r="V51" s="6"/>
    </row>
    <row r="52" spans="8:22">
      <c r="H52" s="5"/>
      <c r="I52" s="5"/>
      <c r="J52" s="5"/>
      <c r="K52" s="5"/>
      <c r="L52" s="6"/>
      <c r="M52" s="6"/>
      <c r="Q52" s="5"/>
      <c r="R52" s="7"/>
      <c r="S52" s="7"/>
      <c r="U52" s="6"/>
      <c r="V52" s="6"/>
    </row>
    <row r="53" spans="8:22">
      <c r="H53" s="5"/>
      <c r="I53" s="5"/>
      <c r="J53" s="5"/>
      <c r="K53" s="5"/>
      <c r="L53" s="6"/>
      <c r="M53" s="6"/>
      <c r="Q53" s="5"/>
      <c r="R53" s="7"/>
      <c r="S53" s="7"/>
      <c r="U53" s="6"/>
      <c r="V53" s="6"/>
    </row>
    <row r="54" spans="8:22">
      <c r="H54" s="5"/>
      <c r="I54" s="5"/>
      <c r="J54" s="5"/>
      <c r="K54" s="5"/>
      <c r="L54" s="6"/>
      <c r="M54" s="6"/>
      <c r="Q54" s="5"/>
      <c r="R54" s="7"/>
      <c r="S54" s="7"/>
      <c r="U54" s="6"/>
      <c r="V54" s="6"/>
    </row>
    <row r="55" spans="8:22">
      <c r="H55" s="5"/>
      <c r="I55" s="5"/>
      <c r="J55" s="5"/>
      <c r="K55" s="5"/>
      <c r="L55" s="6"/>
      <c r="M55" s="6"/>
      <c r="Q55" s="5"/>
      <c r="R55" s="7"/>
      <c r="S55" s="7"/>
      <c r="U55" s="6"/>
      <c r="V55" s="6"/>
    </row>
    <row r="56" spans="8:22">
      <c r="H56" s="5"/>
      <c r="I56" s="5"/>
      <c r="J56" s="5"/>
      <c r="K56" s="5"/>
      <c r="L56" s="6"/>
      <c r="M56" s="6"/>
      <c r="Q56" s="5"/>
      <c r="R56" s="7"/>
      <c r="S56" s="7"/>
      <c r="U56" s="6"/>
      <c r="V56" s="6"/>
    </row>
    <row r="57" spans="8:22">
      <c r="H57" s="5"/>
      <c r="I57" s="5"/>
      <c r="J57" s="5"/>
      <c r="K57" s="5"/>
      <c r="L57" s="6"/>
      <c r="M57" s="6"/>
      <c r="Q57" s="5"/>
      <c r="R57" s="7"/>
      <c r="S57" s="7"/>
      <c r="U57" s="6"/>
      <c r="V57" s="6"/>
    </row>
    <row r="58" spans="8:22">
      <c r="H58" s="5"/>
      <c r="I58" s="5"/>
      <c r="J58" s="5"/>
      <c r="K58" s="5"/>
      <c r="L58" s="6"/>
      <c r="M58" s="6"/>
      <c r="Q58" s="5"/>
      <c r="R58" s="7"/>
      <c r="S58" s="7"/>
      <c r="U58" s="6"/>
      <c r="V58" s="6"/>
    </row>
    <row r="59" spans="8:22">
      <c r="H59" s="5"/>
      <c r="I59" s="5"/>
      <c r="J59" s="5"/>
      <c r="K59" s="5"/>
      <c r="L59" s="6"/>
      <c r="M59" s="6"/>
      <c r="Q59" s="5"/>
      <c r="R59" s="7"/>
      <c r="S59" s="7"/>
      <c r="U59" s="6"/>
      <c r="V59" s="6"/>
    </row>
    <row r="60" spans="8:22">
      <c r="H60" s="5"/>
      <c r="I60" s="5"/>
      <c r="J60" s="5"/>
      <c r="K60" s="5"/>
      <c r="L60" s="6"/>
      <c r="M60" s="6"/>
      <c r="Q60" s="5"/>
      <c r="R60" s="7"/>
      <c r="S60" s="7"/>
      <c r="U60" s="6"/>
      <c r="V60" s="6"/>
    </row>
    <row r="61" spans="8:22">
      <c r="H61" s="5"/>
      <c r="I61" s="5"/>
      <c r="J61" s="5"/>
      <c r="K61" s="5"/>
      <c r="L61" s="6"/>
      <c r="M61" s="6"/>
      <c r="Q61" s="5"/>
      <c r="R61" s="7"/>
      <c r="S61" s="7"/>
      <c r="U61" s="6"/>
      <c r="V61" s="6"/>
    </row>
    <row r="62" spans="8:22">
      <c r="H62" s="5"/>
      <c r="I62" s="5"/>
      <c r="J62" s="5"/>
      <c r="K62" s="5"/>
      <c r="L62" s="6"/>
      <c r="M62" s="6"/>
      <c r="Q62" s="5"/>
      <c r="R62" s="7"/>
      <c r="S62" s="7"/>
      <c r="U62" s="6"/>
      <c r="V62" s="6"/>
    </row>
    <row r="63" spans="8:22">
      <c r="H63" s="5"/>
      <c r="I63" s="5"/>
      <c r="J63" s="5"/>
      <c r="K63" s="5"/>
      <c r="L63" s="6"/>
      <c r="M63" s="6"/>
      <c r="Q63" s="5"/>
      <c r="R63" s="7"/>
      <c r="S63" s="7"/>
      <c r="U63" s="6"/>
      <c r="V63" s="6"/>
    </row>
    <row r="64" spans="8:22">
      <c r="H64" s="5"/>
      <c r="I64" s="5"/>
      <c r="J64" s="5"/>
      <c r="K64" s="5"/>
      <c r="L64" s="6"/>
      <c r="M64" s="6"/>
      <c r="Q64" s="5"/>
      <c r="R64" s="7"/>
      <c r="S64" s="7"/>
      <c r="U64" s="6"/>
      <c r="V64" s="6"/>
    </row>
    <row r="65" spans="8:22">
      <c r="H65" s="5"/>
      <c r="I65" s="5"/>
      <c r="J65" s="5"/>
      <c r="K65" s="5"/>
      <c r="L65" s="6"/>
      <c r="M65" s="6"/>
      <c r="Q65" s="5"/>
      <c r="R65" s="7"/>
      <c r="S65" s="7"/>
      <c r="U65" s="6"/>
      <c r="V65" s="6"/>
    </row>
    <row r="66" spans="8:22">
      <c r="H66" s="5"/>
      <c r="I66" s="5"/>
      <c r="J66" s="5"/>
      <c r="K66" s="5"/>
      <c r="L66" s="6"/>
      <c r="M66" s="6"/>
      <c r="Q66" s="5"/>
      <c r="R66" s="7"/>
      <c r="S66" s="7"/>
      <c r="U66" s="6"/>
      <c r="V66" s="6"/>
    </row>
    <row r="67" spans="8:22">
      <c r="H67" s="5"/>
      <c r="I67" s="5"/>
      <c r="J67" s="5"/>
      <c r="K67" s="5"/>
      <c r="L67" s="6"/>
      <c r="M67" s="6"/>
      <c r="Q67" s="5"/>
      <c r="R67" s="7"/>
      <c r="S67" s="7"/>
      <c r="U67" s="6"/>
      <c r="V67" s="6"/>
    </row>
    <row r="68" spans="8:22">
      <c r="H68" s="5"/>
      <c r="I68" s="5"/>
      <c r="J68" s="5"/>
      <c r="K68" s="5"/>
      <c r="L68" s="6"/>
      <c r="M68" s="6"/>
      <c r="Q68" s="5"/>
      <c r="R68" s="7"/>
      <c r="S68" s="7"/>
      <c r="U68" s="6"/>
      <c r="V68" s="6"/>
    </row>
    <row r="69" spans="8:22">
      <c r="H69" s="5"/>
      <c r="I69" s="5"/>
      <c r="J69" s="5"/>
      <c r="K69" s="5"/>
      <c r="L69" s="6"/>
      <c r="M69" s="6"/>
      <c r="Q69" s="5"/>
      <c r="R69" s="7"/>
      <c r="S69" s="7"/>
      <c r="U69" s="6"/>
      <c r="V69" s="6"/>
    </row>
    <row r="70" spans="8:22">
      <c r="H70" s="5"/>
      <c r="I70" s="5"/>
      <c r="J70" s="5"/>
      <c r="K70" s="5"/>
      <c r="L70" s="6"/>
      <c r="M70" s="6"/>
      <c r="Q70" s="5"/>
      <c r="R70" s="7"/>
      <c r="S70" s="7"/>
      <c r="U70" s="6"/>
      <c r="V70" s="6"/>
    </row>
    <row r="71" spans="8:22">
      <c r="H71" s="5"/>
      <c r="I71" s="5"/>
      <c r="J71" s="5"/>
      <c r="K71" s="5"/>
      <c r="L71" s="6"/>
      <c r="M71" s="6"/>
      <c r="Q71" s="5"/>
      <c r="R71" s="7"/>
      <c r="S71" s="7"/>
      <c r="U71" s="6"/>
      <c r="V71" s="6"/>
    </row>
    <row r="72" spans="8:22">
      <c r="H72" s="5"/>
      <c r="I72" s="5"/>
      <c r="J72" s="5"/>
      <c r="K72" s="5"/>
      <c r="L72" s="6"/>
      <c r="M72" s="6"/>
      <c r="Q72" s="5"/>
      <c r="R72" s="7"/>
      <c r="S72" s="7"/>
      <c r="U72" s="6"/>
      <c r="V72" s="6"/>
    </row>
    <row r="73" spans="8:22">
      <c r="H73" s="5"/>
      <c r="I73" s="5"/>
      <c r="J73" s="5"/>
      <c r="K73" s="5"/>
      <c r="L73" s="6"/>
      <c r="M73" s="6"/>
      <c r="Q73" s="5"/>
      <c r="R73" s="7"/>
      <c r="S73" s="7"/>
      <c r="U73" s="6"/>
      <c r="V73" s="6"/>
    </row>
    <row r="74" spans="8:22">
      <c r="H74" s="5"/>
      <c r="I74" s="5"/>
      <c r="J74" s="5"/>
      <c r="K74" s="5"/>
      <c r="L74" s="6"/>
      <c r="M74" s="6"/>
      <c r="Q74" s="5"/>
      <c r="R74" s="7"/>
      <c r="S74" s="7"/>
      <c r="U74" s="6"/>
      <c r="V74" s="6"/>
    </row>
    <row r="75" spans="8:22">
      <c r="H75" s="5"/>
      <c r="I75" s="5"/>
      <c r="J75" s="5"/>
      <c r="K75" s="5"/>
      <c r="L75" s="6"/>
      <c r="M75" s="6"/>
      <c r="Q75" s="5"/>
      <c r="R75" s="7"/>
      <c r="S75" s="7"/>
      <c r="U75" s="6"/>
      <c r="V75" s="6"/>
    </row>
    <row r="76" spans="8:22">
      <c r="H76" s="5"/>
      <c r="I76" s="5"/>
      <c r="J76" s="5"/>
      <c r="K76" s="5"/>
      <c r="L76" s="6"/>
      <c r="M76" s="6"/>
      <c r="Q76" s="5"/>
      <c r="R76" s="7"/>
      <c r="S76" s="7"/>
      <c r="U76" s="6"/>
      <c r="V76" s="6"/>
    </row>
    <row r="77" spans="8:22">
      <c r="H77" s="5"/>
      <c r="I77" s="5"/>
      <c r="J77" s="5"/>
      <c r="K77" s="5"/>
      <c r="L77" s="6"/>
      <c r="M77" s="6"/>
      <c r="Q77" s="5"/>
      <c r="R77" s="7"/>
      <c r="S77" s="7"/>
      <c r="U77" s="6"/>
      <c r="V77" s="6"/>
    </row>
    <row r="78" spans="8:22">
      <c r="H78" s="5"/>
      <c r="I78" s="5"/>
      <c r="J78" s="5"/>
      <c r="K78" s="5"/>
      <c r="L78" s="6"/>
      <c r="M78" s="6"/>
      <c r="Q78" s="5"/>
      <c r="R78" s="7"/>
      <c r="S78" s="7"/>
      <c r="U78" s="6"/>
      <c r="V78" s="6"/>
    </row>
    <row r="79" spans="8:22">
      <c r="H79" s="5"/>
      <c r="I79" s="5"/>
      <c r="J79" s="5"/>
      <c r="K79" s="5"/>
      <c r="L79" s="6"/>
      <c r="M79" s="6"/>
      <c r="Q79" s="5"/>
      <c r="R79" s="7"/>
      <c r="S79" s="7"/>
      <c r="U79" s="6"/>
      <c r="V79" s="6"/>
    </row>
    <row r="80" spans="8:22">
      <c r="H80" s="5"/>
      <c r="I80" s="5"/>
      <c r="J80" s="5"/>
      <c r="K80" s="5"/>
      <c r="L80" s="6"/>
      <c r="M80" s="6"/>
      <c r="Q80" s="5"/>
      <c r="R80" s="7"/>
      <c r="S80" s="7"/>
      <c r="U80" s="6"/>
      <c r="V80" s="6"/>
    </row>
    <row r="81" spans="8:22">
      <c r="H81" s="5"/>
      <c r="I81" s="5"/>
      <c r="J81" s="5"/>
      <c r="K81" s="5"/>
      <c r="L81" s="6"/>
      <c r="M81" s="6"/>
      <c r="Q81" s="5"/>
      <c r="R81" s="7"/>
      <c r="S81" s="7"/>
      <c r="U81" s="6"/>
      <c r="V81" s="6"/>
    </row>
    <row r="82" spans="8:22">
      <c r="H82" s="5"/>
      <c r="I82" s="5"/>
      <c r="J82" s="5"/>
      <c r="K82" s="5"/>
      <c r="L82" s="6"/>
      <c r="M82" s="6"/>
      <c r="Q82" s="5"/>
      <c r="R82" s="7"/>
      <c r="S82" s="7"/>
      <c r="U82" s="6"/>
      <c r="V82" s="6"/>
    </row>
    <row r="83" spans="8:22">
      <c r="H83" s="5"/>
      <c r="I83" s="5"/>
      <c r="J83" s="5"/>
      <c r="K83" s="5"/>
      <c r="L83" s="6"/>
      <c r="M83" s="6"/>
      <c r="Q83" s="5"/>
      <c r="R83" s="7"/>
      <c r="S83" s="7"/>
      <c r="U83" s="6"/>
      <c r="V83" s="6"/>
    </row>
    <row r="84" spans="8:22">
      <c r="H84" s="5"/>
      <c r="I84" s="5"/>
      <c r="J84" s="5"/>
      <c r="K84" s="5"/>
      <c r="L84" s="6"/>
      <c r="M84" s="6"/>
      <c r="Q84" s="5"/>
      <c r="R84" s="7"/>
      <c r="S84" s="7"/>
      <c r="U84" s="6"/>
      <c r="V84" s="6"/>
    </row>
    <row r="85" spans="8:22">
      <c r="H85" s="5"/>
      <c r="I85" s="5"/>
      <c r="J85" s="5"/>
      <c r="K85" s="5"/>
      <c r="L85" s="6"/>
      <c r="M85" s="6"/>
      <c r="Q85" s="5"/>
      <c r="R85" s="7"/>
      <c r="S85" s="7"/>
      <c r="U85" s="6"/>
      <c r="V85" s="6"/>
    </row>
    <row r="86" spans="8:22">
      <c r="H86" s="5"/>
      <c r="I86" s="5"/>
      <c r="J86" s="5"/>
      <c r="K86" s="5"/>
      <c r="L86" s="6"/>
      <c r="M86" s="6"/>
      <c r="Q86" s="5"/>
      <c r="R86" s="7"/>
      <c r="S86" s="7"/>
      <c r="U86" s="6"/>
      <c r="V86" s="6"/>
    </row>
    <row r="87" spans="8:22">
      <c r="H87" s="5"/>
      <c r="I87" s="5"/>
      <c r="J87" s="5"/>
      <c r="K87" s="5"/>
      <c r="L87" s="6"/>
      <c r="M87" s="6"/>
      <c r="Q87" s="5"/>
      <c r="R87" s="7"/>
      <c r="S87" s="7"/>
      <c r="U87" s="6"/>
      <c r="V87" s="6"/>
    </row>
    <row r="88" spans="8:22">
      <c r="H88" s="5"/>
      <c r="I88" s="5"/>
      <c r="J88" s="5"/>
      <c r="K88" s="5"/>
      <c r="L88" s="6"/>
      <c r="M88" s="6"/>
      <c r="Q88" s="5"/>
      <c r="R88" s="7"/>
      <c r="S88" s="7"/>
      <c r="U88" s="6"/>
      <c r="V88" s="6"/>
    </row>
    <row r="89" spans="8:22">
      <c r="H89" s="5"/>
      <c r="I89" s="5"/>
      <c r="J89" s="5"/>
      <c r="K89" s="5"/>
      <c r="L89" s="6"/>
      <c r="M89" s="6"/>
      <c r="Q89" s="5"/>
      <c r="R89" s="7"/>
      <c r="S89" s="7"/>
      <c r="U89" s="6"/>
      <c r="V89" s="6"/>
    </row>
    <row r="90" spans="8:22">
      <c r="H90" s="5"/>
      <c r="I90" s="5"/>
      <c r="J90" s="5"/>
      <c r="K90" s="5"/>
      <c r="L90" s="6"/>
      <c r="M90" s="6"/>
      <c r="Q90" s="5"/>
      <c r="R90" s="7"/>
      <c r="S90" s="7"/>
      <c r="U90" s="6"/>
      <c r="V90" s="6"/>
    </row>
    <row r="91" spans="8:22">
      <c r="H91" s="5"/>
      <c r="I91" s="5"/>
      <c r="J91" s="5"/>
      <c r="K91" s="5"/>
      <c r="L91" s="6"/>
      <c r="M91" s="6"/>
      <c r="Q91" s="5"/>
      <c r="R91" s="7"/>
      <c r="S91" s="7"/>
      <c r="U91" s="6"/>
      <c r="V91" s="6"/>
    </row>
    <row r="92" spans="8:22">
      <c r="H92" s="5"/>
      <c r="I92" s="5"/>
      <c r="J92" s="5"/>
      <c r="K92" s="5"/>
      <c r="L92" s="6"/>
      <c r="M92" s="6"/>
      <c r="Q92" s="5"/>
      <c r="R92" s="7"/>
      <c r="S92" s="7"/>
      <c r="U92" s="6"/>
      <c r="V92" s="6"/>
    </row>
    <row r="93" spans="8:22">
      <c r="H93" s="5"/>
      <c r="I93" s="5"/>
      <c r="J93" s="5"/>
      <c r="K93" s="5"/>
      <c r="L93" s="6"/>
      <c r="M93" s="6"/>
      <c r="Q93" s="5"/>
      <c r="R93" s="7"/>
      <c r="S93" s="7"/>
      <c r="U93" s="6"/>
      <c r="V93" s="6"/>
    </row>
    <row r="94" spans="8:22">
      <c r="H94" s="5"/>
      <c r="I94" s="5"/>
      <c r="J94" s="5"/>
      <c r="K94" s="5"/>
      <c r="L94" s="6"/>
      <c r="M94" s="6"/>
      <c r="Q94" s="5"/>
      <c r="R94" s="7"/>
      <c r="S94" s="7"/>
      <c r="U94" s="6"/>
      <c r="V94" s="6"/>
    </row>
    <row r="95" spans="8:22">
      <c r="H95" s="5"/>
      <c r="I95" s="5"/>
      <c r="J95" s="5"/>
      <c r="K95" s="5"/>
      <c r="L95" s="6"/>
      <c r="M95" s="6"/>
      <c r="Q95" s="5"/>
      <c r="R95" s="7"/>
      <c r="S95" s="7"/>
      <c r="U95" s="6"/>
      <c r="V95" s="6"/>
    </row>
    <row r="96" spans="8:22">
      <c r="H96" s="5"/>
      <c r="I96" s="5"/>
      <c r="J96" s="5"/>
      <c r="K96" s="5"/>
      <c r="L96" s="6"/>
      <c r="M96" s="6"/>
      <c r="Q96" s="5"/>
      <c r="R96" s="7"/>
      <c r="S96" s="7"/>
      <c r="U96" s="6"/>
      <c r="V96" s="6"/>
    </row>
    <row r="97" spans="8:22">
      <c r="H97" s="5"/>
      <c r="I97" s="5"/>
      <c r="J97" s="5"/>
      <c r="K97" s="5"/>
      <c r="L97" s="6"/>
      <c r="M97" s="6"/>
      <c r="Q97" s="5"/>
      <c r="R97" s="7"/>
      <c r="S97" s="7"/>
      <c r="U97" s="6"/>
      <c r="V97" s="6"/>
    </row>
    <row r="98" spans="8:22">
      <c r="H98" s="5"/>
      <c r="I98" s="5"/>
      <c r="J98" s="5"/>
      <c r="K98" s="5"/>
      <c r="L98" s="6"/>
      <c r="M98" s="6"/>
      <c r="Q98" s="5"/>
      <c r="R98" s="7"/>
      <c r="S98" s="7"/>
      <c r="U98" s="6"/>
      <c r="V98" s="6"/>
    </row>
    <row r="99" spans="8:22">
      <c r="H99" s="5"/>
      <c r="I99" s="5"/>
      <c r="J99" s="5"/>
      <c r="K99" s="5"/>
      <c r="L99" s="6"/>
      <c r="M99" s="6"/>
      <c r="Q99" s="5"/>
      <c r="R99" s="7"/>
      <c r="S99" s="7"/>
      <c r="U99" s="6"/>
      <c r="V99" s="6"/>
    </row>
    <row r="100" spans="8:22">
      <c r="H100" s="5"/>
      <c r="I100" s="5"/>
      <c r="J100" s="5"/>
      <c r="K100" s="5"/>
      <c r="L100" s="6"/>
      <c r="M100" s="6"/>
      <c r="Q100" s="5"/>
      <c r="R100" s="7"/>
      <c r="S100" s="7"/>
      <c r="U100" s="6"/>
      <c r="V100" s="6"/>
    </row>
    <row r="101" spans="8:22">
      <c r="H101" s="5"/>
      <c r="I101" s="5"/>
      <c r="J101" s="5"/>
      <c r="K101" s="5"/>
      <c r="L101" s="6"/>
      <c r="M101" s="6"/>
      <c r="Q101" s="5"/>
      <c r="R101" s="7"/>
      <c r="S101" s="7"/>
      <c r="U101" s="6"/>
      <c r="V101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"/>
  <sheetViews>
    <sheetView topLeftCell="M1" workbookViewId="0">
      <selection activeCell="X2" sqref="X2"/>
    </sheetView>
  </sheetViews>
  <sheetFormatPr baseColWidth="10" defaultColWidth="8.83203125" defaultRowHeight="15"/>
  <cols>
    <col min="1" max="1" width="15" customWidth="1"/>
    <col min="2" max="2" width="28" customWidth="1"/>
    <col min="3" max="24" width="15" customWidth="1"/>
    <col min="25" max="25" width="34" customWidth="1"/>
  </cols>
  <sheetData>
    <row r="1" spans="1:25" ht="32" customHeight="1">
      <c r="A1" s="2" t="s">
        <v>30</v>
      </c>
      <c r="B1" s="2" t="s">
        <v>59</v>
      </c>
      <c r="C1" s="2" t="s">
        <v>546</v>
      </c>
      <c r="D1" s="2" t="s">
        <v>547</v>
      </c>
      <c r="E1" s="2" t="s">
        <v>585</v>
      </c>
      <c r="F1" s="2" t="s">
        <v>50</v>
      </c>
      <c r="G1" s="2" t="s">
        <v>594</v>
      </c>
      <c r="H1" s="2" t="s">
        <v>596</v>
      </c>
      <c r="I1" s="2" t="s">
        <v>590</v>
      </c>
      <c r="J1" s="2" t="s">
        <v>550</v>
      </c>
      <c r="K1" s="2" t="s">
        <v>551</v>
      </c>
      <c r="L1" s="2" t="s">
        <v>552</v>
      </c>
      <c r="M1" s="2" t="s">
        <v>553</v>
      </c>
      <c r="N1" s="2" t="s">
        <v>555</v>
      </c>
      <c r="O1" s="2" t="s">
        <v>556</v>
      </c>
      <c r="P1" s="2" t="s">
        <v>554</v>
      </c>
      <c r="Q1" s="2" t="s">
        <v>610</v>
      </c>
      <c r="R1" s="2" t="s">
        <v>611</v>
      </c>
      <c r="S1" s="2" t="s">
        <v>612</v>
      </c>
      <c r="T1" s="2" t="s">
        <v>613</v>
      </c>
      <c r="U1" s="2" t="s">
        <v>614</v>
      </c>
      <c r="V1" s="2" t="s">
        <v>615</v>
      </c>
      <c r="W1" s="2" t="s">
        <v>616</v>
      </c>
      <c r="X1" s="2" t="s">
        <v>32</v>
      </c>
      <c r="Y1" s="2" t="s">
        <v>617</v>
      </c>
    </row>
    <row r="2" spans="1:25">
      <c r="A2" t="s">
        <v>45</v>
      </c>
      <c r="B2" t="s">
        <v>66</v>
      </c>
      <c r="C2" t="s">
        <v>559</v>
      </c>
      <c r="D2" t="s">
        <v>560</v>
      </c>
      <c r="E2" t="s">
        <v>561</v>
      </c>
      <c r="F2" t="s">
        <v>54</v>
      </c>
      <c r="G2" t="s">
        <v>601</v>
      </c>
      <c r="H2" s="5">
        <v>143.5</v>
      </c>
      <c r="I2" s="5">
        <v>31.986739676802252</v>
      </c>
      <c r="J2">
        <v>70</v>
      </c>
      <c r="K2">
        <v>0</v>
      </c>
      <c r="L2">
        <v>7</v>
      </c>
      <c r="M2">
        <v>63</v>
      </c>
      <c r="N2">
        <v>28</v>
      </c>
      <c r="O2">
        <v>50</v>
      </c>
      <c r="P2" s="4">
        <v>18.5</v>
      </c>
      <c r="Q2" s="5">
        <f t="shared" ref="Q2:Q25" si="0">H2/30</f>
        <v>4.7833333333333332</v>
      </c>
      <c r="R2" s="5">
        <f>ROUND(Assumptions!$B$3*(I2/SQRT(30))*SQRT(N2),0)</f>
        <v>51</v>
      </c>
      <c r="S2" s="5">
        <f t="shared" ref="S2:S25" si="1">Q2*N2</f>
        <v>133.93333333333334</v>
      </c>
      <c r="T2" s="5">
        <f t="shared" ref="T2:T25" si="2">R2+S2</f>
        <v>184.93333333333334</v>
      </c>
      <c r="U2" s="5">
        <f t="shared" ref="U2:U25" si="3">IFERROR(M2/H2,999)</f>
        <v>0.43902439024390244</v>
      </c>
      <c r="V2" s="5">
        <f t="shared" ref="V2:V25" si="4">IF(M2&lt;=T2,MAX(O2,ROUNDUP(T2+H2-M2,0)),IF(AND(U2&lt;1.5,D2="MTS"),MAX(O2,ROUNDUP(H2*2-M2,0)),0))</f>
        <v>266</v>
      </c>
      <c r="W2" s="7">
        <f t="shared" ref="W2:W25" si="5">V2*P2</f>
        <v>4921</v>
      </c>
      <c r="X2" t="str">
        <f t="shared" ref="X2:X25" si="6">IF(M2&lt;=T2,"Stockout Risk",IF(U2&gt;6,"Excess Stock",IF(U2&lt;1.5,"Low Cover","Balanced")))</f>
        <v>Stockout Risk</v>
      </c>
      <c r="Y2" t="str">
        <f t="shared" ref="Y2:Y25" si="7">IF(X2="Stockout Risk","Review replenishment immediately",IF(X2="Low Cover","Monitor closely",IF(X2="Excess Stock","Review excess inventory and future purchases","No immediate action required")))</f>
        <v>Review replenishment immediately</v>
      </c>
    </row>
    <row r="3" spans="1:25">
      <c r="A3" t="s">
        <v>47</v>
      </c>
      <c r="B3" t="s">
        <v>90</v>
      </c>
      <c r="C3" t="s">
        <v>559</v>
      </c>
      <c r="D3" t="s">
        <v>560</v>
      </c>
      <c r="E3" t="s">
        <v>561</v>
      </c>
      <c r="F3" t="s">
        <v>54</v>
      </c>
      <c r="G3" t="s">
        <v>603</v>
      </c>
      <c r="H3" s="5">
        <v>106</v>
      </c>
      <c r="I3" s="5">
        <v>29.76918785345924</v>
      </c>
      <c r="J3">
        <v>117</v>
      </c>
      <c r="K3">
        <v>0</v>
      </c>
      <c r="L3">
        <v>21</v>
      </c>
      <c r="M3">
        <v>96</v>
      </c>
      <c r="N3">
        <v>35</v>
      </c>
      <c r="O3">
        <v>40</v>
      </c>
      <c r="P3" s="4">
        <v>24</v>
      </c>
      <c r="Q3" s="5">
        <f t="shared" si="0"/>
        <v>3.5333333333333332</v>
      </c>
      <c r="R3" s="5">
        <f>ROUND(Assumptions!$B$3*(I3/SQRT(30))*SQRT(N3),0)</f>
        <v>53</v>
      </c>
      <c r="S3" s="5">
        <f t="shared" si="1"/>
        <v>123.66666666666666</v>
      </c>
      <c r="T3" s="5">
        <f t="shared" si="2"/>
        <v>176.66666666666666</v>
      </c>
      <c r="U3" s="5">
        <f t="shared" si="3"/>
        <v>0.90566037735849059</v>
      </c>
      <c r="V3" s="5">
        <f t="shared" si="4"/>
        <v>187</v>
      </c>
      <c r="W3" s="7">
        <f t="shared" si="5"/>
        <v>4488</v>
      </c>
      <c r="X3" t="str">
        <f t="shared" si="6"/>
        <v>Stockout Risk</v>
      </c>
      <c r="Y3" t="str">
        <f t="shared" si="7"/>
        <v>Review replenishment immediately</v>
      </c>
    </row>
    <row r="4" spans="1:25">
      <c r="A4" t="s">
        <v>48</v>
      </c>
      <c r="B4" t="s">
        <v>109</v>
      </c>
      <c r="C4" t="s">
        <v>559</v>
      </c>
      <c r="D4" t="s">
        <v>560</v>
      </c>
      <c r="E4" t="s">
        <v>561</v>
      </c>
      <c r="F4" t="s">
        <v>54</v>
      </c>
      <c r="G4" t="s">
        <v>601</v>
      </c>
      <c r="H4" s="5">
        <v>105.3333333333333</v>
      </c>
      <c r="I4" s="5">
        <v>12.537217322110131</v>
      </c>
      <c r="J4">
        <v>336</v>
      </c>
      <c r="K4">
        <v>0</v>
      </c>
      <c r="L4">
        <v>18</v>
      </c>
      <c r="M4">
        <v>318</v>
      </c>
      <c r="N4">
        <v>30</v>
      </c>
      <c r="O4">
        <v>40</v>
      </c>
      <c r="P4" s="4">
        <v>21</v>
      </c>
      <c r="Q4" s="5">
        <f t="shared" si="0"/>
        <v>3.5111111111111102</v>
      </c>
      <c r="R4" s="5">
        <f>ROUND(Assumptions!$B$3*(I4/SQRT(30))*SQRT(N4),0)</f>
        <v>21</v>
      </c>
      <c r="S4" s="5">
        <f t="shared" si="1"/>
        <v>105.3333333333333</v>
      </c>
      <c r="T4" s="5">
        <f t="shared" si="2"/>
        <v>126.3333333333333</v>
      </c>
      <c r="U4" s="5">
        <f t="shared" si="3"/>
        <v>3.0189873417721529</v>
      </c>
      <c r="V4" s="5">
        <f t="shared" si="4"/>
        <v>0</v>
      </c>
      <c r="W4" s="7">
        <f t="shared" si="5"/>
        <v>0</v>
      </c>
      <c r="X4" t="str">
        <f t="shared" si="6"/>
        <v>Balanced</v>
      </c>
      <c r="Y4" t="str">
        <f t="shared" si="7"/>
        <v>No immediate action required</v>
      </c>
    </row>
    <row r="5" spans="1:25">
      <c r="A5" t="s">
        <v>128</v>
      </c>
      <c r="B5" t="s">
        <v>129</v>
      </c>
      <c r="C5" t="s">
        <v>564</v>
      </c>
      <c r="D5" t="s">
        <v>560</v>
      </c>
      <c r="E5" t="s">
        <v>565</v>
      </c>
      <c r="F5" t="s">
        <v>57</v>
      </c>
      <c r="G5" t="s">
        <v>605</v>
      </c>
      <c r="H5" s="5">
        <v>0</v>
      </c>
      <c r="I5" s="5">
        <v>13.85968647159484</v>
      </c>
      <c r="J5">
        <v>8</v>
      </c>
      <c r="K5">
        <v>4</v>
      </c>
      <c r="L5">
        <v>0</v>
      </c>
      <c r="M5">
        <v>12</v>
      </c>
      <c r="N5">
        <v>45</v>
      </c>
      <c r="O5">
        <v>20</v>
      </c>
      <c r="P5" s="4">
        <v>55</v>
      </c>
      <c r="Q5" s="5">
        <f t="shared" si="0"/>
        <v>0</v>
      </c>
      <c r="R5" s="5">
        <f>ROUND(Assumptions!$B$3*(I5/SQRT(30))*SQRT(N5),0)</f>
        <v>28</v>
      </c>
      <c r="S5" s="5">
        <f t="shared" si="1"/>
        <v>0</v>
      </c>
      <c r="T5" s="5">
        <f t="shared" si="2"/>
        <v>28</v>
      </c>
      <c r="U5" s="5">
        <f t="shared" si="3"/>
        <v>999</v>
      </c>
      <c r="V5" s="5">
        <f t="shared" si="4"/>
        <v>20</v>
      </c>
      <c r="W5" s="7">
        <f t="shared" si="5"/>
        <v>1100</v>
      </c>
      <c r="X5" t="str">
        <f t="shared" si="6"/>
        <v>Stockout Risk</v>
      </c>
      <c r="Y5" t="str">
        <f t="shared" si="7"/>
        <v>Review replenishment immediately</v>
      </c>
    </row>
    <row r="6" spans="1:25">
      <c r="A6" t="s">
        <v>148</v>
      </c>
      <c r="B6" t="s">
        <v>149</v>
      </c>
      <c r="C6" t="s">
        <v>564</v>
      </c>
      <c r="D6" t="s">
        <v>566</v>
      </c>
      <c r="E6" t="s">
        <v>567</v>
      </c>
      <c r="F6" t="s">
        <v>54</v>
      </c>
      <c r="G6" t="s">
        <v>607</v>
      </c>
      <c r="H6" s="5">
        <v>11.83333333333333</v>
      </c>
      <c r="I6" s="5">
        <v>7.2252713066393186</v>
      </c>
      <c r="J6">
        <v>46</v>
      </c>
      <c r="K6">
        <v>0</v>
      </c>
      <c r="L6">
        <v>8</v>
      </c>
      <c r="M6">
        <v>38</v>
      </c>
      <c r="N6">
        <v>60</v>
      </c>
      <c r="O6">
        <v>10</v>
      </c>
      <c r="P6" s="4">
        <v>125</v>
      </c>
      <c r="Q6" s="5">
        <f t="shared" si="0"/>
        <v>0.39444444444444432</v>
      </c>
      <c r="R6" s="5">
        <f>ROUND(Assumptions!$B$3*(I6/SQRT(30))*SQRT(N6),0)</f>
        <v>17</v>
      </c>
      <c r="S6" s="5">
        <f t="shared" si="1"/>
        <v>23.666666666666661</v>
      </c>
      <c r="T6" s="5">
        <f t="shared" si="2"/>
        <v>40.666666666666657</v>
      </c>
      <c r="U6" s="5">
        <f t="shared" si="3"/>
        <v>3.2112676056338034</v>
      </c>
      <c r="V6" s="5">
        <f t="shared" si="4"/>
        <v>15</v>
      </c>
      <c r="W6" s="7">
        <f t="shared" si="5"/>
        <v>1875</v>
      </c>
      <c r="X6" t="str">
        <f t="shared" si="6"/>
        <v>Stockout Risk</v>
      </c>
      <c r="Y6" t="str">
        <f t="shared" si="7"/>
        <v>Review replenishment immediately</v>
      </c>
    </row>
    <row r="7" spans="1:25">
      <c r="A7" t="s">
        <v>168</v>
      </c>
      <c r="B7" t="s">
        <v>169</v>
      </c>
      <c r="C7" t="s">
        <v>568</v>
      </c>
      <c r="D7" t="s">
        <v>560</v>
      </c>
      <c r="E7" t="s">
        <v>569</v>
      </c>
      <c r="F7" t="s">
        <v>54</v>
      </c>
      <c r="G7" t="s">
        <v>608</v>
      </c>
      <c r="H7" s="5">
        <v>37.333333333333343</v>
      </c>
      <c r="I7" s="5">
        <v>8.894584665044027</v>
      </c>
      <c r="J7">
        <v>231</v>
      </c>
      <c r="K7">
        <v>0</v>
      </c>
      <c r="L7">
        <v>49</v>
      </c>
      <c r="M7">
        <v>182</v>
      </c>
      <c r="N7">
        <v>21</v>
      </c>
      <c r="O7">
        <v>25</v>
      </c>
      <c r="P7" s="4">
        <v>38</v>
      </c>
      <c r="Q7" s="5">
        <f t="shared" si="0"/>
        <v>1.2444444444444447</v>
      </c>
      <c r="R7" s="5">
        <f>ROUND(Assumptions!$B$3*(I7/SQRT(30))*SQRT(N7),0)</f>
        <v>12</v>
      </c>
      <c r="S7" s="5">
        <f t="shared" si="1"/>
        <v>26.13333333333334</v>
      </c>
      <c r="T7" s="5">
        <f t="shared" si="2"/>
        <v>38.13333333333334</v>
      </c>
      <c r="U7" s="5">
        <f t="shared" si="3"/>
        <v>4.8749999999999991</v>
      </c>
      <c r="V7" s="5">
        <f t="shared" si="4"/>
        <v>0</v>
      </c>
      <c r="W7" s="7">
        <f t="shared" si="5"/>
        <v>0</v>
      </c>
      <c r="X7" t="str">
        <f t="shared" si="6"/>
        <v>Balanced</v>
      </c>
      <c r="Y7" t="str">
        <f t="shared" si="7"/>
        <v>No immediate action required</v>
      </c>
    </row>
    <row r="8" spans="1:25">
      <c r="A8" t="s">
        <v>49</v>
      </c>
      <c r="B8" t="s">
        <v>188</v>
      </c>
      <c r="C8" t="s">
        <v>559</v>
      </c>
      <c r="D8" t="s">
        <v>560</v>
      </c>
      <c r="E8" t="s">
        <v>561</v>
      </c>
      <c r="F8" t="s">
        <v>54</v>
      </c>
      <c r="G8" t="s">
        <v>603</v>
      </c>
      <c r="H8" s="5">
        <v>99</v>
      </c>
      <c r="I8" s="5">
        <v>13.48708697797694</v>
      </c>
      <c r="J8">
        <v>131</v>
      </c>
      <c r="K8">
        <v>0</v>
      </c>
      <c r="L8">
        <v>24</v>
      </c>
      <c r="M8">
        <v>107</v>
      </c>
      <c r="N8">
        <v>32</v>
      </c>
      <c r="O8">
        <v>30</v>
      </c>
      <c r="P8" s="4">
        <v>42</v>
      </c>
      <c r="Q8" s="5">
        <f t="shared" si="0"/>
        <v>3.3</v>
      </c>
      <c r="R8" s="5">
        <f>ROUND(Assumptions!$B$3*(I8/SQRT(30))*SQRT(N8),0)</f>
        <v>23</v>
      </c>
      <c r="S8" s="5">
        <f t="shared" si="1"/>
        <v>105.6</v>
      </c>
      <c r="T8" s="5">
        <f t="shared" si="2"/>
        <v>128.6</v>
      </c>
      <c r="U8" s="5">
        <f t="shared" si="3"/>
        <v>1.0808080808080809</v>
      </c>
      <c r="V8" s="5">
        <f t="shared" si="4"/>
        <v>121</v>
      </c>
      <c r="W8" s="7">
        <f t="shared" si="5"/>
        <v>5082</v>
      </c>
      <c r="X8" t="str">
        <f t="shared" si="6"/>
        <v>Stockout Risk</v>
      </c>
      <c r="Y8" t="str">
        <f t="shared" si="7"/>
        <v>Review replenishment immediately</v>
      </c>
    </row>
    <row r="9" spans="1:25">
      <c r="A9" t="s">
        <v>207</v>
      </c>
      <c r="B9" t="s">
        <v>208</v>
      </c>
      <c r="C9" t="s">
        <v>559</v>
      </c>
      <c r="D9" t="s">
        <v>560</v>
      </c>
      <c r="E9" t="s">
        <v>561</v>
      </c>
      <c r="F9" t="s">
        <v>54</v>
      </c>
      <c r="G9" t="s">
        <v>607</v>
      </c>
      <c r="H9" s="5">
        <v>44</v>
      </c>
      <c r="I9" s="5">
        <v>11.34947602581749</v>
      </c>
      <c r="J9">
        <v>77</v>
      </c>
      <c r="K9">
        <v>62</v>
      </c>
      <c r="L9">
        <v>7</v>
      </c>
      <c r="M9">
        <v>132</v>
      </c>
      <c r="N9">
        <v>40</v>
      </c>
      <c r="O9">
        <v>25</v>
      </c>
      <c r="P9" s="4">
        <v>48</v>
      </c>
      <c r="Q9" s="5">
        <f t="shared" si="0"/>
        <v>1.4666666666666666</v>
      </c>
      <c r="R9" s="5">
        <f>ROUND(Assumptions!$B$3*(I9/SQRT(30))*SQRT(N9),0)</f>
        <v>22</v>
      </c>
      <c r="S9" s="5">
        <f t="shared" si="1"/>
        <v>58.666666666666664</v>
      </c>
      <c r="T9" s="5">
        <f t="shared" si="2"/>
        <v>80.666666666666657</v>
      </c>
      <c r="U9" s="5">
        <f t="shared" si="3"/>
        <v>3</v>
      </c>
      <c r="V9" s="5">
        <f t="shared" si="4"/>
        <v>0</v>
      </c>
      <c r="W9" s="7">
        <f t="shared" si="5"/>
        <v>0</v>
      </c>
      <c r="X9" t="str">
        <f t="shared" si="6"/>
        <v>Balanced</v>
      </c>
      <c r="Y9" t="str">
        <f t="shared" si="7"/>
        <v>No immediate action required</v>
      </c>
    </row>
    <row r="10" spans="1:25">
      <c r="A10" t="s">
        <v>40</v>
      </c>
      <c r="B10" t="s">
        <v>227</v>
      </c>
      <c r="C10" t="s">
        <v>570</v>
      </c>
      <c r="D10" t="s">
        <v>560</v>
      </c>
      <c r="E10" t="s">
        <v>571</v>
      </c>
      <c r="F10" t="s">
        <v>56</v>
      </c>
      <c r="G10" t="s">
        <v>601</v>
      </c>
      <c r="H10" s="5">
        <v>252.66666666666671</v>
      </c>
      <c r="I10" s="5">
        <v>44.089440775301149</v>
      </c>
      <c r="J10">
        <v>383</v>
      </c>
      <c r="K10">
        <v>383</v>
      </c>
      <c r="L10">
        <v>54</v>
      </c>
      <c r="M10">
        <v>712</v>
      </c>
      <c r="N10">
        <v>14</v>
      </c>
      <c r="O10">
        <v>100</v>
      </c>
      <c r="P10" s="4">
        <v>3.8</v>
      </c>
      <c r="Q10" s="5">
        <f t="shared" si="0"/>
        <v>8.4222222222222243</v>
      </c>
      <c r="R10" s="5">
        <f>ROUND(Assumptions!$B$3*(I10/SQRT(30))*SQRT(N10),0)</f>
        <v>50</v>
      </c>
      <c r="S10" s="5">
        <f t="shared" si="1"/>
        <v>117.91111111111114</v>
      </c>
      <c r="T10" s="5">
        <f t="shared" si="2"/>
        <v>167.91111111111115</v>
      </c>
      <c r="U10" s="5">
        <f t="shared" si="3"/>
        <v>2.8179419525065956</v>
      </c>
      <c r="V10" s="5">
        <f t="shared" si="4"/>
        <v>0</v>
      </c>
      <c r="W10" s="7">
        <f t="shared" si="5"/>
        <v>0</v>
      </c>
      <c r="X10" t="str">
        <f t="shared" si="6"/>
        <v>Balanced</v>
      </c>
      <c r="Y10" t="str">
        <f t="shared" si="7"/>
        <v>No immediate action required</v>
      </c>
    </row>
    <row r="11" spans="1:25">
      <c r="A11" t="s">
        <v>246</v>
      </c>
      <c r="B11" t="s">
        <v>247</v>
      </c>
      <c r="C11" t="s">
        <v>572</v>
      </c>
      <c r="D11" t="s">
        <v>560</v>
      </c>
      <c r="E11" t="s">
        <v>573</v>
      </c>
      <c r="F11" t="s">
        <v>57</v>
      </c>
      <c r="G11" t="s">
        <v>605</v>
      </c>
      <c r="H11" s="5">
        <v>0</v>
      </c>
      <c r="I11" s="5">
        <v>65.08380378520846</v>
      </c>
      <c r="J11">
        <v>97</v>
      </c>
      <c r="K11">
        <v>0</v>
      </c>
      <c r="L11">
        <v>20</v>
      </c>
      <c r="M11">
        <v>77</v>
      </c>
      <c r="N11">
        <v>20</v>
      </c>
      <c r="O11">
        <v>75</v>
      </c>
      <c r="P11" s="4">
        <v>8.5</v>
      </c>
      <c r="Q11" s="5">
        <f t="shared" si="0"/>
        <v>0</v>
      </c>
      <c r="R11" s="5">
        <f>ROUND(Assumptions!$B$3*(I11/SQRT(30))*SQRT(N11),0)</f>
        <v>88</v>
      </c>
      <c r="S11" s="5">
        <f t="shared" si="1"/>
        <v>0</v>
      </c>
      <c r="T11" s="5">
        <f t="shared" si="2"/>
        <v>88</v>
      </c>
      <c r="U11" s="5">
        <f t="shared" si="3"/>
        <v>999</v>
      </c>
      <c r="V11" s="5">
        <f t="shared" si="4"/>
        <v>75</v>
      </c>
      <c r="W11" s="7">
        <f t="shared" si="5"/>
        <v>637.5</v>
      </c>
      <c r="X11" t="str">
        <f t="shared" si="6"/>
        <v>Stockout Risk</v>
      </c>
      <c r="Y11" t="str">
        <f t="shared" si="7"/>
        <v>Review replenishment immediately</v>
      </c>
    </row>
    <row r="12" spans="1:25">
      <c r="A12" t="s">
        <v>266</v>
      </c>
      <c r="B12" t="s">
        <v>267</v>
      </c>
      <c r="C12" t="s">
        <v>568</v>
      </c>
      <c r="D12" t="s">
        <v>560</v>
      </c>
      <c r="E12" t="s">
        <v>565</v>
      </c>
      <c r="F12" t="s">
        <v>54</v>
      </c>
      <c r="G12" t="s">
        <v>609</v>
      </c>
      <c r="H12" s="5">
        <v>29.5</v>
      </c>
      <c r="I12" s="5">
        <v>37.847380918951878</v>
      </c>
      <c r="J12">
        <v>116</v>
      </c>
      <c r="K12">
        <v>16</v>
      </c>
      <c r="L12">
        <v>26</v>
      </c>
      <c r="M12">
        <v>106</v>
      </c>
      <c r="N12">
        <v>50</v>
      </c>
      <c r="O12">
        <v>15</v>
      </c>
      <c r="P12" s="4">
        <v>32</v>
      </c>
      <c r="Q12" s="5">
        <f t="shared" si="0"/>
        <v>0.98333333333333328</v>
      </c>
      <c r="R12" s="5">
        <f>ROUND(Assumptions!$B$3*(I12/SQRT(30))*SQRT(N12),0)</f>
        <v>81</v>
      </c>
      <c r="S12" s="5">
        <f t="shared" si="1"/>
        <v>49.166666666666664</v>
      </c>
      <c r="T12" s="5">
        <f t="shared" si="2"/>
        <v>130.16666666666666</v>
      </c>
      <c r="U12" s="5">
        <f t="shared" si="3"/>
        <v>3.593220338983051</v>
      </c>
      <c r="V12" s="5">
        <f t="shared" si="4"/>
        <v>54</v>
      </c>
      <c r="W12" s="7">
        <f t="shared" si="5"/>
        <v>1728</v>
      </c>
      <c r="X12" t="str">
        <f t="shared" si="6"/>
        <v>Stockout Risk</v>
      </c>
      <c r="Y12" t="str">
        <f t="shared" si="7"/>
        <v>Review replenishment immediately</v>
      </c>
    </row>
    <row r="13" spans="1:25">
      <c r="A13" t="s">
        <v>286</v>
      </c>
      <c r="B13" t="s">
        <v>287</v>
      </c>
      <c r="C13" t="s">
        <v>574</v>
      </c>
      <c r="D13" t="s">
        <v>560</v>
      </c>
      <c r="E13" t="s">
        <v>575</v>
      </c>
      <c r="F13" t="s">
        <v>54</v>
      </c>
      <c r="G13" t="s">
        <v>601</v>
      </c>
      <c r="H13" s="5">
        <v>13.66666666666667</v>
      </c>
      <c r="I13" s="5">
        <v>3.1079078025403049</v>
      </c>
      <c r="J13">
        <v>52</v>
      </c>
      <c r="K13">
        <v>10</v>
      </c>
      <c r="L13">
        <v>12</v>
      </c>
      <c r="M13">
        <v>50</v>
      </c>
      <c r="N13">
        <v>55</v>
      </c>
      <c r="O13">
        <v>10</v>
      </c>
      <c r="P13" s="4">
        <v>78</v>
      </c>
      <c r="Q13" s="5">
        <f t="shared" si="0"/>
        <v>0.45555555555555566</v>
      </c>
      <c r="R13" s="5">
        <f>ROUND(Assumptions!$B$3*(I13/SQRT(30))*SQRT(N13),0)</f>
        <v>7</v>
      </c>
      <c r="S13" s="5">
        <f t="shared" si="1"/>
        <v>25.055555555555561</v>
      </c>
      <c r="T13" s="5">
        <f t="shared" si="2"/>
        <v>32.055555555555557</v>
      </c>
      <c r="U13" s="5">
        <f t="shared" si="3"/>
        <v>3.6585365853658529</v>
      </c>
      <c r="V13" s="5">
        <f t="shared" si="4"/>
        <v>0</v>
      </c>
      <c r="W13" s="7">
        <f t="shared" si="5"/>
        <v>0</v>
      </c>
      <c r="X13" t="str">
        <f t="shared" si="6"/>
        <v>Balanced</v>
      </c>
      <c r="Y13" t="str">
        <f t="shared" si="7"/>
        <v>No immediate action required</v>
      </c>
    </row>
    <row r="14" spans="1:25">
      <c r="A14" t="s">
        <v>306</v>
      </c>
      <c r="B14" t="s">
        <v>307</v>
      </c>
      <c r="C14" t="s">
        <v>574</v>
      </c>
      <c r="D14" t="s">
        <v>566</v>
      </c>
      <c r="E14" t="s">
        <v>576</v>
      </c>
      <c r="F14" t="s">
        <v>54</v>
      </c>
      <c r="G14" t="s">
        <v>603</v>
      </c>
      <c r="H14" s="5">
        <v>9.3333333333333339</v>
      </c>
      <c r="I14" s="5">
        <v>3.467380462644281</v>
      </c>
      <c r="J14">
        <v>14</v>
      </c>
      <c r="K14">
        <v>7</v>
      </c>
      <c r="L14">
        <v>3</v>
      </c>
      <c r="M14">
        <v>18</v>
      </c>
      <c r="N14">
        <v>70</v>
      </c>
      <c r="O14">
        <v>5</v>
      </c>
      <c r="P14" s="4">
        <v>210</v>
      </c>
      <c r="Q14" s="5">
        <f t="shared" si="0"/>
        <v>0.31111111111111112</v>
      </c>
      <c r="R14" s="5">
        <f>ROUND(Assumptions!$B$3*(I14/SQRT(30))*SQRT(N14),0)</f>
        <v>9</v>
      </c>
      <c r="S14" s="5">
        <f t="shared" si="1"/>
        <v>21.777777777777779</v>
      </c>
      <c r="T14" s="5">
        <f t="shared" si="2"/>
        <v>30.777777777777779</v>
      </c>
      <c r="U14" s="5">
        <f t="shared" si="3"/>
        <v>1.9285714285714284</v>
      </c>
      <c r="V14" s="5">
        <f t="shared" si="4"/>
        <v>23</v>
      </c>
      <c r="W14" s="7">
        <f t="shared" si="5"/>
        <v>4830</v>
      </c>
      <c r="X14" t="str">
        <f t="shared" si="6"/>
        <v>Stockout Risk</v>
      </c>
      <c r="Y14" t="str">
        <f t="shared" si="7"/>
        <v>Review replenishment immediately</v>
      </c>
    </row>
    <row r="15" spans="1:25">
      <c r="A15" t="s">
        <v>53</v>
      </c>
      <c r="B15" t="s">
        <v>326</v>
      </c>
      <c r="C15" t="s">
        <v>574</v>
      </c>
      <c r="D15" t="s">
        <v>560</v>
      </c>
      <c r="E15" t="s">
        <v>577</v>
      </c>
      <c r="F15" t="s">
        <v>56</v>
      </c>
      <c r="G15" t="s">
        <v>601</v>
      </c>
      <c r="H15" s="5">
        <v>53.833333333333343</v>
      </c>
      <c r="I15" s="5">
        <v>12.11654266119697</v>
      </c>
      <c r="J15">
        <v>46</v>
      </c>
      <c r="K15">
        <v>0</v>
      </c>
      <c r="L15">
        <v>5</v>
      </c>
      <c r="M15">
        <v>41</v>
      </c>
      <c r="N15">
        <v>35</v>
      </c>
      <c r="O15">
        <v>25</v>
      </c>
      <c r="P15" s="4">
        <v>14</v>
      </c>
      <c r="Q15" s="5">
        <f t="shared" si="0"/>
        <v>1.7944444444444447</v>
      </c>
      <c r="R15" s="5">
        <f>ROUND(Assumptions!$B$3*(I15/SQRT(30))*SQRT(N15),0)</f>
        <v>22</v>
      </c>
      <c r="S15" s="5">
        <f t="shared" si="1"/>
        <v>62.805555555555564</v>
      </c>
      <c r="T15" s="5">
        <f t="shared" si="2"/>
        <v>84.805555555555571</v>
      </c>
      <c r="U15" s="5">
        <f t="shared" si="3"/>
        <v>0.76160990712074295</v>
      </c>
      <c r="V15" s="5">
        <f t="shared" si="4"/>
        <v>98</v>
      </c>
      <c r="W15" s="7">
        <f t="shared" si="5"/>
        <v>1372</v>
      </c>
      <c r="X15" t="str">
        <f t="shared" si="6"/>
        <v>Stockout Risk</v>
      </c>
      <c r="Y15" t="str">
        <f t="shared" si="7"/>
        <v>Review replenishment immediately</v>
      </c>
    </row>
    <row r="16" spans="1:25">
      <c r="A16" t="s">
        <v>55</v>
      </c>
      <c r="B16" t="s">
        <v>346</v>
      </c>
      <c r="C16" t="s">
        <v>574</v>
      </c>
      <c r="D16" t="s">
        <v>560</v>
      </c>
      <c r="E16" t="s">
        <v>577</v>
      </c>
      <c r="F16" t="s">
        <v>56</v>
      </c>
      <c r="G16" t="s">
        <v>601</v>
      </c>
      <c r="H16" s="5">
        <v>48.166666666666657</v>
      </c>
      <c r="I16" s="5">
        <v>10.196553190647171</v>
      </c>
      <c r="J16">
        <v>95</v>
      </c>
      <c r="K16">
        <v>0</v>
      </c>
      <c r="L16">
        <v>19</v>
      </c>
      <c r="M16">
        <v>76</v>
      </c>
      <c r="N16">
        <v>35</v>
      </c>
      <c r="O16">
        <v>25</v>
      </c>
      <c r="P16" s="4">
        <v>16</v>
      </c>
      <c r="Q16" s="5">
        <f t="shared" si="0"/>
        <v>1.6055555555555552</v>
      </c>
      <c r="R16" s="5">
        <f>ROUND(Assumptions!$B$3*(I16/SQRT(30))*SQRT(N16),0)</f>
        <v>18</v>
      </c>
      <c r="S16" s="5">
        <f t="shared" si="1"/>
        <v>56.194444444444429</v>
      </c>
      <c r="T16" s="5">
        <f t="shared" si="2"/>
        <v>74.194444444444429</v>
      </c>
      <c r="U16" s="5">
        <f t="shared" si="3"/>
        <v>1.5778546712802772</v>
      </c>
      <c r="V16" s="5">
        <f t="shared" si="4"/>
        <v>0</v>
      </c>
      <c r="W16" s="7">
        <f t="shared" si="5"/>
        <v>0</v>
      </c>
      <c r="X16" t="str">
        <f t="shared" si="6"/>
        <v>Balanced</v>
      </c>
      <c r="Y16" t="str">
        <f t="shared" si="7"/>
        <v>No immediate action required</v>
      </c>
    </row>
    <row r="17" spans="1:25">
      <c r="A17" t="s">
        <v>365</v>
      </c>
      <c r="B17" t="s">
        <v>366</v>
      </c>
      <c r="C17" t="s">
        <v>574</v>
      </c>
      <c r="D17" t="s">
        <v>560</v>
      </c>
      <c r="E17" t="s">
        <v>578</v>
      </c>
      <c r="F17" t="s">
        <v>56</v>
      </c>
      <c r="G17" t="s">
        <v>605</v>
      </c>
      <c r="H17" s="5">
        <v>21.5</v>
      </c>
      <c r="I17" s="5">
        <v>11.863810517704669</v>
      </c>
      <c r="J17">
        <v>16</v>
      </c>
      <c r="K17">
        <v>33</v>
      </c>
      <c r="L17">
        <v>3</v>
      </c>
      <c r="M17">
        <v>46</v>
      </c>
      <c r="N17">
        <v>48</v>
      </c>
      <c r="O17">
        <v>12</v>
      </c>
      <c r="P17" s="4">
        <v>46</v>
      </c>
      <c r="Q17" s="5">
        <f t="shared" si="0"/>
        <v>0.71666666666666667</v>
      </c>
      <c r="R17" s="5">
        <f>ROUND(Assumptions!$B$3*(I17/SQRT(30))*SQRT(N17),0)</f>
        <v>25</v>
      </c>
      <c r="S17" s="5">
        <f t="shared" si="1"/>
        <v>34.4</v>
      </c>
      <c r="T17" s="5">
        <f t="shared" si="2"/>
        <v>59.4</v>
      </c>
      <c r="U17" s="5">
        <f t="shared" si="3"/>
        <v>2.13953488372093</v>
      </c>
      <c r="V17" s="5">
        <f t="shared" si="4"/>
        <v>35</v>
      </c>
      <c r="W17" s="7">
        <f t="shared" si="5"/>
        <v>1610</v>
      </c>
      <c r="X17" t="str">
        <f t="shared" si="6"/>
        <v>Stockout Risk</v>
      </c>
      <c r="Y17" t="str">
        <f t="shared" si="7"/>
        <v>Review replenishment immediately</v>
      </c>
    </row>
    <row r="18" spans="1:25">
      <c r="A18" t="s">
        <v>385</v>
      </c>
      <c r="B18" t="s">
        <v>386</v>
      </c>
      <c r="C18" t="s">
        <v>574</v>
      </c>
      <c r="D18" t="s">
        <v>566</v>
      </c>
      <c r="E18" t="s">
        <v>579</v>
      </c>
      <c r="F18" t="s">
        <v>56</v>
      </c>
      <c r="G18" t="s">
        <v>607</v>
      </c>
      <c r="H18" s="5">
        <v>10.5</v>
      </c>
      <c r="I18" s="5">
        <v>7.6569437688145454</v>
      </c>
      <c r="J18">
        <v>32</v>
      </c>
      <c r="K18">
        <v>0</v>
      </c>
      <c r="L18">
        <v>3</v>
      </c>
      <c r="M18">
        <v>29</v>
      </c>
      <c r="N18">
        <v>65</v>
      </c>
      <c r="O18">
        <v>8</v>
      </c>
      <c r="P18" s="4">
        <v>95</v>
      </c>
      <c r="Q18" s="5">
        <f t="shared" si="0"/>
        <v>0.35</v>
      </c>
      <c r="R18" s="5">
        <f>ROUND(Assumptions!$B$3*(I18/SQRT(30))*SQRT(N18),0)</f>
        <v>19</v>
      </c>
      <c r="S18" s="5">
        <f t="shared" si="1"/>
        <v>22.75</v>
      </c>
      <c r="T18" s="5">
        <f t="shared" si="2"/>
        <v>41.75</v>
      </c>
      <c r="U18" s="5">
        <f t="shared" si="3"/>
        <v>2.7619047619047619</v>
      </c>
      <c r="V18" s="5">
        <f t="shared" si="4"/>
        <v>24</v>
      </c>
      <c r="W18" s="7">
        <f t="shared" si="5"/>
        <v>2280</v>
      </c>
      <c r="X18" t="str">
        <f t="shared" si="6"/>
        <v>Stockout Risk</v>
      </c>
      <c r="Y18" t="str">
        <f t="shared" si="7"/>
        <v>Review replenishment immediately</v>
      </c>
    </row>
    <row r="19" spans="1:25">
      <c r="A19" t="s">
        <v>37</v>
      </c>
      <c r="B19" t="s">
        <v>405</v>
      </c>
      <c r="C19" t="s">
        <v>580</v>
      </c>
      <c r="D19" t="s">
        <v>560</v>
      </c>
      <c r="E19" t="s">
        <v>582</v>
      </c>
      <c r="F19" t="s">
        <v>54</v>
      </c>
      <c r="G19" t="s">
        <v>601</v>
      </c>
      <c r="H19" s="5">
        <v>478.66666666666669</v>
      </c>
      <c r="I19" s="5">
        <v>93.236218414532587</v>
      </c>
      <c r="J19">
        <v>2857</v>
      </c>
      <c r="K19">
        <v>761</v>
      </c>
      <c r="L19">
        <v>206</v>
      </c>
      <c r="M19">
        <v>3412</v>
      </c>
      <c r="N19">
        <v>18</v>
      </c>
      <c r="O19">
        <v>200</v>
      </c>
      <c r="P19" s="4">
        <v>2.2000000000000002</v>
      </c>
      <c r="Q19" s="5">
        <f t="shared" si="0"/>
        <v>15.955555555555556</v>
      </c>
      <c r="R19" s="5">
        <f>ROUND(Assumptions!$B$3*(I19/SQRT(30))*SQRT(N19),0)</f>
        <v>119</v>
      </c>
      <c r="S19" s="5">
        <f t="shared" si="1"/>
        <v>287.2</v>
      </c>
      <c r="T19" s="5">
        <f t="shared" si="2"/>
        <v>406.2</v>
      </c>
      <c r="U19" s="5">
        <f t="shared" si="3"/>
        <v>7.1281337047353759</v>
      </c>
      <c r="V19" s="5">
        <f t="shared" si="4"/>
        <v>0</v>
      </c>
      <c r="W19" s="7">
        <f t="shared" si="5"/>
        <v>0</v>
      </c>
      <c r="X19" t="str">
        <f t="shared" si="6"/>
        <v>Excess Stock</v>
      </c>
      <c r="Y19" t="str">
        <f t="shared" si="7"/>
        <v>Review excess inventory and future purchases</v>
      </c>
    </row>
    <row r="20" spans="1:25">
      <c r="A20" t="s">
        <v>34</v>
      </c>
      <c r="B20" t="s">
        <v>424</v>
      </c>
      <c r="C20" t="s">
        <v>580</v>
      </c>
      <c r="D20" t="s">
        <v>560</v>
      </c>
      <c r="E20" t="s">
        <v>582</v>
      </c>
      <c r="F20" t="s">
        <v>56</v>
      </c>
      <c r="G20" t="s">
        <v>601</v>
      </c>
      <c r="H20" s="5">
        <v>645.5</v>
      </c>
      <c r="I20" s="5">
        <v>139.5989927896286</v>
      </c>
      <c r="J20">
        <v>424</v>
      </c>
      <c r="K20">
        <v>941</v>
      </c>
      <c r="L20">
        <v>26</v>
      </c>
      <c r="M20">
        <v>1339</v>
      </c>
      <c r="N20">
        <v>18</v>
      </c>
      <c r="O20">
        <v>150</v>
      </c>
      <c r="P20" s="4">
        <v>1.8</v>
      </c>
      <c r="Q20" s="5">
        <f t="shared" si="0"/>
        <v>21.516666666666666</v>
      </c>
      <c r="R20" s="5">
        <f>ROUND(Assumptions!$B$3*(I20/SQRT(30))*SQRT(N20),0)</f>
        <v>178</v>
      </c>
      <c r="S20" s="5">
        <f t="shared" si="1"/>
        <v>387.29999999999995</v>
      </c>
      <c r="T20" s="5">
        <f t="shared" si="2"/>
        <v>565.29999999999995</v>
      </c>
      <c r="U20" s="5">
        <f t="shared" si="3"/>
        <v>2.0743609604957398</v>
      </c>
      <c r="V20" s="5">
        <f t="shared" si="4"/>
        <v>0</v>
      </c>
      <c r="W20" s="7">
        <f t="shared" si="5"/>
        <v>0</v>
      </c>
      <c r="X20" t="str">
        <f t="shared" si="6"/>
        <v>Balanced</v>
      </c>
      <c r="Y20" t="str">
        <f t="shared" si="7"/>
        <v>No immediate action required</v>
      </c>
    </row>
    <row r="21" spans="1:25">
      <c r="A21" t="s">
        <v>443</v>
      </c>
      <c r="B21" t="s">
        <v>444</v>
      </c>
      <c r="C21" t="s">
        <v>570</v>
      </c>
      <c r="D21" t="s">
        <v>560</v>
      </c>
      <c r="E21" t="s">
        <v>567</v>
      </c>
      <c r="F21" t="s">
        <v>54</v>
      </c>
      <c r="G21" t="s">
        <v>601</v>
      </c>
      <c r="H21" s="5">
        <v>44.5</v>
      </c>
      <c r="I21" s="5">
        <v>8.8638694608044535</v>
      </c>
      <c r="J21">
        <v>22</v>
      </c>
      <c r="K21">
        <v>0</v>
      </c>
      <c r="L21">
        <v>2</v>
      </c>
      <c r="M21">
        <v>20</v>
      </c>
      <c r="N21">
        <v>30</v>
      </c>
      <c r="O21">
        <v>20</v>
      </c>
      <c r="P21" s="4">
        <v>29</v>
      </c>
      <c r="Q21" s="5">
        <f t="shared" si="0"/>
        <v>1.4833333333333334</v>
      </c>
      <c r="R21" s="5">
        <f>ROUND(Assumptions!$B$3*(I21/SQRT(30))*SQRT(N21),0)</f>
        <v>15</v>
      </c>
      <c r="S21" s="5">
        <f t="shared" si="1"/>
        <v>44.5</v>
      </c>
      <c r="T21" s="5">
        <f t="shared" si="2"/>
        <v>59.5</v>
      </c>
      <c r="U21" s="5">
        <f t="shared" si="3"/>
        <v>0.449438202247191</v>
      </c>
      <c r="V21" s="5">
        <f t="shared" si="4"/>
        <v>84</v>
      </c>
      <c r="W21" s="7">
        <f t="shared" si="5"/>
        <v>2436</v>
      </c>
      <c r="X21" t="str">
        <f t="shared" si="6"/>
        <v>Stockout Risk</v>
      </c>
      <c r="Y21" t="str">
        <f t="shared" si="7"/>
        <v>Review replenishment immediately</v>
      </c>
    </row>
    <row r="22" spans="1:25">
      <c r="A22" t="s">
        <v>463</v>
      </c>
      <c r="B22" t="s">
        <v>464</v>
      </c>
      <c r="C22" t="s">
        <v>574</v>
      </c>
      <c r="D22" t="s">
        <v>560</v>
      </c>
      <c r="E22" t="s">
        <v>583</v>
      </c>
      <c r="F22" t="s">
        <v>54</v>
      </c>
      <c r="G22" t="s">
        <v>601</v>
      </c>
      <c r="H22" s="5">
        <v>14.5</v>
      </c>
      <c r="I22" s="5">
        <v>3.028901190901153</v>
      </c>
      <c r="J22">
        <v>21</v>
      </c>
      <c r="K22">
        <v>0</v>
      </c>
      <c r="L22">
        <v>1</v>
      </c>
      <c r="M22">
        <v>20</v>
      </c>
      <c r="N22">
        <v>60</v>
      </c>
      <c r="O22">
        <v>8</v>
      </c>
      <c r="P22" s="4">
        <v>140</v>
      </c>
      <c r="Q22" s="5">
        <f t="shared" si="0"/>
        <v>0.48333333333333334</v>
      </c>
      <c r="R22" s="5">
        <f>ROUND(Assumptions!$B$3*(I22/SQRT(30))*SQRT(N22),0)</f>
        <v>7</v>
      </c>
      <c r="S22" s="5">
        <f t="shared" si="1"/>
        <v>29</v>
      </c>
      <c r="T22" s="5">
        <f t="shared" si="2"/>
        <v>36</v>
      </c>
      <c r="U22" s="5">
        <f t="shared" si="3"/>
        <v>1.3793103448275863</v>
      </c>
      <c r="V22" s="5">
        <f t="shared" si="4"/>
        <v>31</v>
      </c>
      <c r="W22" s="7">
        <f t="shared" si="5"/>
        <v>4340</v>
      </c>
      <c r="X22" t="str">
        <f t="shared" si="6"/>
        <v>Stockout Risk</v>
      </c>
      <c r="Y22" t="str">
        <f t="shared" si="7"/>
        <v>Review replenishment immediately</v>
      </c>
    </row>
    <row r="23" spans="1:25">
      <c r="A23" t="s">
        <v>483</v>
      </c>
      <c r="B23" t="s">
        <v>484</v>
      </c>
      <c r="C23" t="s">
        <v>574</v>
      </c>
      <c r="D23" t="s">
        <v>566</v>
      </c>
      <c r="E23" t="s">
        <v>583</v>
      </c>
      <c r="F23" t="s">
        <v>57</v>
      </c>
      <c r="G23" t="s">
        <v>605</v>
      </c>
      <c r="H23" s="5">
        <v>2</v>
      </c>
      <c r="I23" s="5">
        <v>2.088931871468374</v>
      </c>
      <c r="J23">
        <v>5</v>
      </c>
      <c r="K23">
        <v>2</v>
      </c>
      <c r="L23">
        <v>1</v>
      </c>
      <c r="M23">
        <v>6</v>
      </c>
      <c r="N23">
        <v>75</v>
      </c>
      <c r="O23">
        <v>4</v>
      </c>
      <c r="P23" s="4">
        <v>310</v>
      </c>
      <c r="Q23" s="5">
        <f t="shared" si="0"/>
        <v>6.6666666666666666E-2</v>
      </c>
      <c r="R23" s="5">
        <f>ROUND(Assumptions!$B$3*(I23/SQRT(30))*SQRT(N23),0)</f>
        <v>5</v>
      </c>
      <c r="S23" s="5">
        <f t="shared" si="1"/>
        <v>5</v>
      </c>
      <c r="T23" s="5">
        <f t="shared" si="2"/>
        <v>10</v>
      </c>
      <c r="U23" s="5">
        <f t="shared" si="3"/>
        <v>3</v>
      </c>
      <c r="V23" s="5">
        <f t="shared" si="4"/>
        <v>6</v>
      </c>
      <c r="W23" s="7">
        <f t="shared" si="5"/>
        <v>1860</v>
      </c>
      <c r="X23" t="str">
        <f t="shared" si="6"/>
        <v>Stockout Risk</v>
      </c>
      <c r="Y23" t="str">
        <f t="shared" si="7"/>
        <v>Review replenishment immediately</v>
      </c>
    </row>
    <row r="24" spans="1:25">
      <c r="A24" t="s">
        <v>503</v>
      </c>
      <c r="B24" t="s">
        <v>504</v>
      </c>
      <c r="C24" t="s">
        <v>574</v>
      </c>
      <c r="D24" t="s">
        <v>560</v>
      </c>
      <c r="E24" t="s">
        <v>576</v>
      </c>
      <c r="F24" t="s">
        <v>54</v>
      </c>
      <c r="G24" t="s">
        <v>609</v>
      </c>
      <c r="H24" s="5">
        <v>14</v>
      </c>
      <c r="I24" s="5">
        <v>11.7405668130167</v>
      </c>
      <c r="J24">
        <v>49</v>
      </c>
      <c r="K24">
        <v>0</v>
      </c>
      <c r="L24">
        <v>10</v>
      </c>
      <c r="M24">
        <v>39</v>
      </c>
      <c r="N24">
        <v>62</v>
      </c>
      <c r="O24">
        <v>8</v>
      </c>
      <c r="P24" s="4">
        <v>160</v>
      </c>
      <c r="Q24" s="5">
        <f t="shared" si="0"/>
        <v>0.46666666666666667</v>
      </c>
      <c r="R24" s="5">
        <f>ROUND(Assumptions!$B$3*(I24/SQRT(30))*SQRT(N24),0)</f>
        <v>28</v>
      </c>
      <c r="S24" s="5">
        <f t="shared" si="1"/>
        <v>28.933333333333334</v>
      </c>
      <c r="T24" s="5">
        <f t="shared" si="2"/>
        <v>56.933333333333337</v>
      </c>
      <c r="U24" s="5">
        <f t="shared" si="3"/>
        <v>2.7857142857142856</v>
      </c>
      <c r="V24" s="5">
        <f t="shared" si="4"/>
        <v>32</v>
      </c>
      <c r="W24" s="7">
        <f t="shared" si="5"/>
        <v>5120</v>
      </c>
      <c r="X24" t="str">
        <f t="shared" si="6"/>
        <v>Stockout Risk</v>
      </c>
      <c r="Y24" t="str">
        <f t="shared" si="7"/>
        <v>Review replenishment immediately</v>
      </c>
    </row>
    <row r="25" spans="1:25">
      <c r="A25" t="s">
        <v>43</v>
      </c>
      <c r="B25" t="s">
        <v>523</v>
      </c>
      <c r="C25" t="s">
        <v>572</v>
      </c>
      <c r="D25" t="s">
        <v>560</v>
      </c>
      <c r="E25" t="s">
        <v>571</v>
      </c>
      <c r="F25" t="s">
        <v>56</v>
      </c>
      <c r="G25" t="s">
        <v>601</v>
      </c>
      <c r="H25" s="5">
        <v>180</v>
      </c>
      <c r="I25" s="5">
        <v>44.276934962765537</v>
      </c>
      <c r="J25">
        <v>738</v>
      </c>
      <c r="K25">
        <v>0</v>
      </c>
      <c r="L25">
        <v>156</v>
      </c>
      <c r="M25">
        <v>582</v>
      </c>
      <c r="N25">
        <v>15</v>
      </c>
      <c r="O25">
        <v>100</v>
      </c>
      <c r="P25" s="4">
        <v>4.4000000000000004</v>
      </c>
      <c r="Q25" s="5">
        <f t="shared" si="0"/>
        <v>6</v>
      </c>
      <c r="R25" s="5">
        <f>ROUND(Assumptions!$B$3*(I25/SQRT(30))*SQRT(N25),0)</f>
        <v>52</v>
      </c>
      <c r="S25" s="5">
        <f t="shared" si="1"/>
        <v>90</v>
      </c>
      <c r="T25" s="5">
        <f t="shared" si="2"/>
        <v>142</v>
      </c>
      <c r="U25" s="5">
        <f t="shared" si="3"/>
        <v>3.2333333333333334</v>
      </c>
      <c r="V25" s="5">
        <f t="shared" si="4"/>
        <v>0</v>
      </c>
      <c r="W25" s="7">
        <f t="shared" si="5"/>
        <v>0</v>
      </c>
      <c r="X25" t="str">
        <f t="shared" si="6"/>
        <v>Balanced</v>
      </c>
      <c r="Y25" t="str">
        <f t="shared" si="7"/>
        <v>No immediate action required</v>
      </c>
    </row>
    <row r="26" spans="1:25">
      <c r="H26" s="5"/>
      <c r="I26" s="5"/>
      <c r="P26" s="4"/>
      <c r="Q26" s="5"/>
      <c r="R26" s="5"/>
      <c r="S26" s="5"/>
      <c r="T26" s="5"/>
      <c r="U26" s="5"/>
      <c r="V26" s="5"/>
      <c r="W26" s="7"/>
    </row>
    <row r="27" spans="1:25">
      <c r="H27" s="5"/>
      <c r="I27" s="5"/>
      <c r="P27" s="4"/>
      <c r="Q27" s="5"/>
      <c r="R27" s="5"/>
      <c r="S27" s="5"/>
      <c r="T27" s="5"/>
      <c r="U27" s="5"/>
      <c r="V27" s="5"/>
      <c r="W27" s="7"/>
    </row>
    <row r="28" spans="1:25">
      <c r="H28" s="5"/>
      <c r="I28" s="5"/>
      <c r="P28" s="4"/>
      <c r="Q28" s="5"/>
      <c r="R28" s="5"/>
      <c r="S28" s="5"/>
      <c r="T28" s="5"/>
      <c r="U28" s="5"/>
      <c r="V28" s="5"/>
      <c r="W28" s="7"/>
    </row>
    <row r="29" spans="1:25">
      <c r="H29" s="5"/>
      <c r="I29" s="5"/>
      <c r="P29" s="4"/>
      <c r="Q29" s="5"/>
      <c r="R29" s="5"/>
      <c r="S29" s="5"/>
      <c r="T29" s="5"/>
      <c r="U29" s="5"/>
      <c r="V29" s="5"/>
      <c r="W29" s="7"/>
    </row>
    <row r="30" spans="1:25">
      <c r="H30" s="5"/>
      <c r="I30" s="5"/>
      <c r="P30" s="4"/>
      <c r="Q30" s="5"/>
      <c r="R30" s="5"/>
      <c r="S30" s="5"/>
      <c r="T30" s="5"/>
      <c r="U30" s="5"/>
      <c r="V30" s="5"/>
      <c r="W30" s="7"/>
    </row>
    <row r="31" spans="1:25">
      <c r="H31" s="5"/>
      <c r="I31" s="5"/>
      <c r="P31" s="4"/>
      <c r="Q31" s="5"/>
      <c r="R31" s="5"/>
      <c r="S31" s="5"/>
      <c r="T31" s="5"/>
      <c r="U31" s="5"/>
      <c r="V31" s="5"/>
      <c r="W31" s="7"/>
    </row>
    <row r="32" spans="1:25">
      <c r="H32" s="5"/>
      <c r="I32" s="5"/>
      <c r="P32" s="4"/>
      <c r="Q32" s="5"/>
      <c r="R32" s="5"/>
      <c r="S32" s="5"/>
      <c r="T32" s="5"/>
      <c r="U32" s="5"/>
      <c r="V32" s="5"/>
      <c r="W32" s="7"/>
    </row>
    <row r="33" spans="8:23">
      <c r="H33" s="5"/>
      <c r="I33" s="5"/>
      <c r="P33" s="4"/>
      <c r="Q33" s="5"/>
      <c r="R33" s="5"/>
      <c r="S33" s="5"/>
      <c r="T33" s="5"/>
      <c r="U33" s="5"/>
      <c r="V33" s="5"/>
      <c r="W33" s="7"/>
    </row>
    <row r="34" spans="8:23">
      <c r="H34" s="5"/>
      <c r="I34" s="5"/>
      <c r="P34" s="4"/>
      <c r="Q34" s="5"/>
      <c r="R34" s="5"/>
      <c r="S34" s="5"/>
      <c r="T34" s="5"/>
      <c r="U34" s="5"/>
      <c r="V34" s="5"/>
      <c r="W34" s="7"/>
    </row>
    <row r="35" spans="8:23">
      <c r="H35" s="5"/>
      <c r="I35" s="5"/>
      <c r="P35" s="4"/>
      <c r="Q35" s="5"/>
      <c r="R35" s="5"/>
      <c r="S35" s="5"/>
      <c r="T35" s="5"/>
      <c r="U35" s="5"/>
      <c r="V35" s="5"/>
      <c r="W35" s="7"/>
    </row>
    <row r="36" spans="8:23">
      <c r="H36" s="5"/>
      <c r="I36" s="5"/>
      <c r="P36" s="4"/>
      <c r="Q36" s="5"/>
      <c r="R36" s="5"/>
      <c r="S36" s="5"/>
      <c r="T36" s="5"/>
      <c r="U36" s="5"/>
      <c r="V36" s="5"/>
      <c r="W36" s="7"/>
    </row>
    <row r="37" spans="8:23">
      <c r="H37" s="5"/>
      <c r="I37" s="5"/>
      <c r="P37" s="4"/>
      <c r="Q37" s="5"/>
      <c r="R37" s="5"/>
      <c r="S37" s="5"/>
      <c r="T37" s="5"/>
      <c r="U37" s="5"/>
      <c r="V37" s="5"/>
      <c r="W37" s="7"/>
    </row>
    <row r="38" spans="8:23">
      <c r="H38" s="5"/>
      <c r="I38" s="5"/>
      <c r="P38" s="4"/>
      <c r="Q38" s="5"/>
      <c r="R38" s="5"/>
      <c r="S38" s="5"/>
      <c r="T38" s="5"/>
      <c r="U38" s="5"/>
      <c r="V38" s="5"/>
      <c r="W38" s="7"/>
    </row>
    <row r="39" spans="8:23">
      <c r="H39" s="5"/>
      <c r="I39" s="5"/>
      <c r="P39" s="4"/>
      <c r="Q39" s="5"/>
      <c r="R39" s="5"/>
      <c r="S39" s="5"/>
      <c r="T39" s="5"/>
      <c r="U39" s="5"/>
      <c r="V39" s="5"/>
      <c r="W39" s="7"/>
    </row>
    <row r="40" spans="8:23">
      <c r="H40" s="5"/>
      <c r="I40" s="5"/>
      <c r="P40" s="4"/>
      <c r="Q40" s="5"/>
      <c r="R40" s="5"/>
      <c r="S40" s="5"/>
      <c r="T40" s="5"/>
      <c r="U40" s="5"/>
      <c r="V40" s="5"/>
      <c r="W40" s="7"/>
    </row>
    <row r="41" spans="8:23">
      <c r="H41" s="5"/>
      <c r="I41" s="5"/>
      <c r="P41" s="4"/>
      <c r="Q41" s="5"/>
      <c r="R41" s="5"/>
      <c r="S41" s="5"/>
      <c r="T41" s="5"/>
      <c r="U41" s="5"/>
      <c r="V41" s="5"/>
      <c r="W41" s="7"/>
    </row>
    <row r="42" spans="8:23">
      <c r="H42" s="5"/>
      <c r="I42" s="5"/>
      <c r="P42" s="4"/>
      <c r="Q42" s="5"/>
      <c r="R42" s="5"/>
      <c r="S42" s="5"/>
      <c r="T42" s="5"/>
      <c r="U42" s="5"/>
      <c r="V42" s="5"/>
      <c r="W42" s="7"/>
    </row>
    <row r="43" spans="8:23">
      <c r="H43" s="5"/>
      <c r="I43" s="5"/>
      <c r="P43" s="4"/>
      <c r="Q43" s="5"/>
      <c r="R43" s="5"/>
      <c r="S43" s="5"/>
      <c r="T43" s="5"/>
      <c r="U43" s="5"/>
      <c r="V43" s="5"/>
      <c r="W43" s="7"/>
    </row>
    <row r="44" spans="8:23">
      <c r="H44" s="5"/>
      <c r="I44" s="5"/>
      <c r="P44" s="4"/>
      <c r="Q44" s="5"/>
      <c r="R44" s="5"/>
      <c r="S44" s="5"/>
      <c r="T44" s="5"/>
      <c r="U44" s="5"/>
      <c r="V44" s="5"/>
      <c r="W44" s="7"/>
    </row>
    <row r="45" spans="8:23">
      <c r="H45" s="5"/>
      <c r="I45" s="5"/>
      <c r="P45" s="4"/>
      <c r="Q45" s="5"/>
      <c r="R45" s="5"/>
      <c r="S45" s="5"/>
      <c r="T45" s="5"/>
      <c r="U45" s="5"/>
      <c r="V45" s="5"/>
      <c r="W45" s="7"/>
    </row>
    <row r="46" spans="8:23">
      <c r="H46" s="5"/>
      <c r="I46" s="5"/>
      <c r="P46" s="4"/>
      <c r="Q46" s="5"/>
      <c r="R46" s="5"/>
      <c r="S46" s="5"/>
      <c r="T46" s="5"/>
      <c r="U46" s="5"/>
      <c r="V46" s="5"/>
      <c r="W46" s="7"/>
    </row>
    <row r="47" spans="8:23">
      <c r="H47" s="5"/>
      <c r="I47" s="5"/>
      <c r="P47" s="4"/>
      <c r="Q47" s="5"/>
      <c r="R47" s="5"/>
      <c r="S47" s="5"/>
      <c r="T47" s="5"/>
      <c r="U47" s="5"/>
      <c r="V47" s="5"/>
      <c r="W47" s="7"/>
    </row>
    <row r="48" spans="8:23">
      <c r="H48" s="5"/>
      <c r="I48" s="5"/>
      <c r="P48" s="4"/>
      <c r="Q48" s="5"/>
      <c r="R48" s="5"/>
      <c r="S48" s="5"/>
      <c r="T48" s="5"/>
      <c r="U48" s="5"/>
      <c r="V48" s="5"/>
      <c r="W48" s="7"/>
    </row>
    <row r="49" spans="8:23">
      <c r="H49" s="5"/>
      <c r="I49" s="5"/>
      <c r="P49" s="4"/>
      <c r="Q49" s="5"/>
      <c r="R49" s="5"/>
      <c r="S49" s="5"/>
      <c r="T49" s="5"/>
      <c r="U49" s="5"/>
      <c r="V49" s="5"/>
      <c r="W49" s="7"/>
    </row>
    <row r="50" spans="8:23">
      <c r="H50" s="5"/>
      <c r="I50" s="5"/>
      <c r="P50" s="4"/>
      <c r="Q50" s="5"/>
      <c r="R50" s="5"/>
      <c r="S50" s="5"/>
      <c r="T50" s="5"/>
      <c r="U50" s="5"/>
      <c r="V50" s="5"/>
      <c r="W50" s="7"/>
    </row>
    <row r="51" spans="8:23">
      <c r="H51" s="5"/>
      <c r="I51" s="5"/>
      <c r="P51" s="4"/>
      <c r="Q51" s="5"/>
      <c r="R51" s="5"/>
      <c r="S51" s="5"/>
      <c r="T51" s="5"/>
      <c r="U51" s="5"/>
      <c r="V51" s="5"/>
      <c r="W51" s="7"/>
    </row>
    <row r="52" spans="8:23">
      <c r="H52" s="5"/>
      <c r="I52" s="5"/>
      <c r="P52" s="4"/>
      <c r="Q52" s="5"/>
      <c r="R52" s="5"/>
      <c r="S52" s="5"/>
      <c r="T52" s="5"/>
      <c r="U52" s="5"/>
      <c r="V52" s="5"/>
      <c r="W52" s="7"/>
    </row>
    <row r="53" spans="8:23">
      <c r="H53" s="5"/>
      <c r="I53" s="5"/>
      <c r="P53" s="4"/>
      <c r="Q53" s="5"/>
      <c r="R53" s="5"/>
      <c r="S53" s="5"/>
      <c r="T53" s="5"/>
      <c r="U53" s="5"/>
      <c r="V53" s="5"/>
      <c r="W53" s="7"/>
    </row>
    <row r="54" spans="8:23">
      <c r="H54" s="5"/>
      <c r="I54" s="5"/>
      <c r="P54" s="4"/>
      <c r="Q54" s="5"/>
      <c r="R54" s="5"/>
      <c r="S54" s="5"/>
      <c r="T54" s="5"/>
      <c r="U54" s="5"/>
      <c r="V54" s="5"/>
      <c r="W54" s="7"/>
    </row>
    <row r="55" spans="8:23">
      <c r="H55" s="5"/>
      <c r="I55" s="5"/>
      <c r="P55" s="4"/>
      <c r="Q55" s="5"/>
      <c r="R55" s="5"/>
      <c r="S55" s="5"/>
      <c r="T55" s="5"/>
      <c r="U55" s="5"/>
      <c r="V55" s="5"/>
      <c r="W55" s="7"/>
    </row>
    <row r="56" spans="8:23">
      <c r="H56" s="5"/>
      <c r="I56" s="5"/>
      <c r="P56" s="4"/>
      <c r="Q56" s="5"/>
      <c r="R56" s="5"/>
      <c r="S56" s="5"/>
      <c r="T56" s="5"/>
      <c r="U56" s="5"/>
      <c r="V56" s="5"/>
      <c r="W56" s="7"/>
    </row>
    <row r="57" spans="8:23">
      <c r="H57" s="5"/>
      <c r="I57" s="5"/>
      <c r="P57" s="4"/>
      <c r="Q57" s="5"/>
      <c r="R57" s="5"/>
      <c r="S57" s="5"/>
      <c r="T57" s="5"/>
      <c r="U57" s="5"/>
      <c r="V57" s="5"/>
      <c r="W57" s="7"/>
    </row>
    <row r="58" spans="8:23">
      <c r="H58" s="5"/>
      <c r="I58" s="5"/>
      <c r="P58" s="4"/>
      <c r="Q58" s="5"/>
      <c r="R58" s="5"/>
      <c r="S58" s="5"/>
      <c r="T58" s="5"/>
      <c r="U58" s="5"/>
      <c r="V58" s="5"/>
      <c r="W58" s="7"/>
    </row>
    <row r="59" spans="8:23">
      <c r="H59" s="5"/>
      <c r="I59" s="5"/>
      <c r="P59" s="4"/>
      <c r="Q59" s="5"/>
      <c r="R59" s="5"/>
      <c r="S59" s="5"/>
      <c r="T59" s="5"/>
      <c r="U59" s="5"/>
      <c r="V59" s="5"/>
      <c r="W59" s="7"/>
    </row>
    <row r="60" spans="8:23">
      <c r="H60" s="5"/>
      <c r="I60" s="5"/>
      <c r="P60" s="4"/>
      <c r="Q60" s="5"/>
      <c r="R60" s="5"/>
      <c r="S60" s="5"/>
      <c r="T60" s="5"/>
      <c r="U60" s="5"/>
      <c r="V60" s="5"/>
      <c r="W60" s="7"/>
    </row>
    <row r="61" spans="8:23">
      <c r="H61" s="5"/>
      <c r="I61" s="5"/>
      <c r="P61" s="4"/>
      <c r="Q61" s="5"/>
      <c r="R61" s="5"/>
      <c r="S61" s="5"/>
      <c r="T61" s="5"/>
      <c r="U61" s="5"/>
      <c r="V61" s="5"/>
      <c r="W61" s="7"/>
    </row>
    <row r="62" spans="8:23">
      <c r="H62" s="5"/>
      <c r="I62" s="5"/>
      <c r="P62" s="4"/>
      <c r="Q62" s="5"/>
      <c r="R62" s="5"/>
      <c r="S62" s="5"/>
      <c r="T62" s="5"/>
      <c r="U62" s="5"/>
      <c r="V62" s="5"/>
      <c r="W62" s="7"/>
    </row>
    <row r="63" spans="8:23">
      <c r="H63" s="5"/>
      <c r="I63" s="5"/>
      <c r="P63" s="4"/>
      <c r="Q63" s="5"/>
      <c r="R63" s="5"/>
      <c r="S63" s="5"/>
      <c r="T63" s="5"/>
      <c r="U63" s="5"/>
      <c r="V63" s="5"/>
      <c r="W63" s="7"/>
    </row>
    <row r="64" spans="8:23">
      <c r="H64" s="5"/>
      <c r="I64" s="5"/>
      <c r="P64" s="4"/>
      <c r="Q64" s="5"/>
      <c r="R64" s="5"/>
      <c r="S64" s="5"/>
      <c r="T64" s="5"/>
      <c r="U64" s="5"/>
      <c r="V64" s="5"/>
      <c r="W64" s="7"/>
    </row>
    <row r="65" spans="8:23">
      <c r="H65" s="5"/>
      <c r="I65" s="5"/>
      <c r="P65" s="4"/>
      <c r="Q65" s="5"/>
      <c r="R65" s="5"/>
      <c r="S65" s="5"/>
      <c r="T65" s="5"/>
      <c r="U65" s="5"/>
      <c r="V65" s="5"/>
      <c r="W65" s="7"/>
    </row>
    <row r="66" spans="8:23">
      <c r="H66" s="5"/>
      <c r="I66" s="5"/>
      <c r="P66" s="4"/>
      <c r="Q66" s="5"/>
      <c r="R66" s="5"/>
      <c r="S66" s="5"/>
      <c r="T66" s="5"/>
      <c r="U66" s="5"/>
      <c r="V66" s="5"/>
      <c r="W66" s="7"/>
    </row>
    <row r="67" spans="8:23">
      <c r="H67" s="5"/>
      <c r="I67" s="5"/>
      <c r="P67" s="4"/>
      <c r="Q67" s="5"/>
      <c r="R67" s="5"/>
      <c r="S67" s="5"/>
      <c r="T67" s="5"/>
      <c r="U67" s="5"/>
      <c r="V67" s="5"/>
      <c r="W67" s="7"/>
    </row>
    <row r="68" spans="8:23">
      <c r="H68" s="5"/>
      <c r="I68" s="5"/>
      <c r="P68" s="4"/>
      <c r="Q68" s="5"/>
      <c r="R68" s="5"/>
      <c r="S68" s="5"/>
      <c r="T68" s="5"/>
      <c r="U68" s="5"/>
      <c r="V68" s="5"/>
      <c r="W68" s="7"/>
    </row>
    <row r="69" spans="8:23">
      <c r="H69" s="5"/>
      <c r="I69" s="5"/>
      <c r="P69" s="4"/>
      <c r="Q69" s="5"/>
      <c r="R69" s="5"/>
      <c r="S69" s="5"/>
      <c r="T69" s="5"/>
      <c r="U69" s="5"/>
      <c r="V69" s="5"/>
      <c r="W69" s="7"/>
    </row>
    <row r="70" spans="8:23">
      <c r="H70" s="5"/>
      <c r="I70" s="5"/>
      <c r="P70" s="4"/>
      <c r="Q70" s="5"/>
      <c r="R70" s="5"/>
      <c r="S70" s="5"/>
      <c r="T70" s="5"/>
      <c r="U70" s="5"/>
      <c r="V70" s="5"/>
      <c r="W70" s="7"/>
    </row>
    <row r="71" spans="8:23">
      <c r="H71" s="5"/>
      <c r="I71" s="5"/>
      <c r="P71" s="4"/>
      <c r="Q71" s="5"/>
      <c r="R71" s="5"/>
      <c r="S71" s="5"/>
      <c r="T71" s="5"/>
      <c r="U71" s="5"/>
      <c r="V71" s="5"/>
      <c r="W71" s="7"/>
    </row>
    <row r="72" spans="8:23">
      <c r="H72" s="5"/>
      <c r="I72" s="5"/>
      <c r="P72" s="4"/>
      <c r="Q72" s="5"/>
      <c r="R72" s="5"/>
      <c r="S72" s="5"/>
      <c r="T72" s="5"/>
      <c r="U72" s="5"/>
      <c r="V72" s="5"/>
      <c r="W72" s="7"/>
    </row>
    <row r="73" spans="8:23">
      <c r="H73" s="5"/>
      <c r="I73" s="5"/>
      <c r="P73" s="4"/>
      <c r="Q73" s="5"/>
      <c r="R73" s="5"/>
      <c r="S73" s="5"/>
      <c r="T73" s="5"/>
      <c r="U73" s="5"/>
      <c r="V73" s="5"/>
      <c r="W73" s="7"/>
    </row>
    <row r="74" spans="8:23">
      <c r="H74" s="5"/>
      <c r="I74" s="5"/>
      <c r="P74" s="4"/>
      <c r="Q74" s="5"/>
      <c r="R74" s="5"/>
      <c r="S74" s="5"/>
      <c r="T74" s="5"/>
      <c r="U74" s="5"/>
      <c r="V74" s="5"/>
      <c r="W74" s="7"/>
    </row>
    <row r="75" spans="8:23">
      <c r="H75" s="5"/>
      <c r="I75" s="5"/>
      <c r="P75" s="4"/>
      <c r="Q75" s="5"/>
      <c r="R75" s="5"/>
      <c r="S75" s="5"/>
      <c r="T75" s="5"/>
      <c r="U75" s="5"/>
      <c r="V75" s="5"/>
      <c r="W75" s="7"/>
    </row>
    <row r="76" spans="8:23">
      <c r="H76" s="5"/>
      <c r="I76" s="5"/>
      <c r="P76" s="4"/>
      <c r="Q76" s="5"/>
      <c r="R76" s="5"/>
      <c r="S76" s="5"/>
      <c r="T76" s="5"/>
      <c r="U76" s="5"/>
      <c r="V76" s="5"/>
      <c r="W76" s="7"/>
    </row>
    <row r="77" spans="8:23">
      <c r="H77" s="5"/>
      <c r="I77" s="5"/>
      <c r="P77" s="4"/>
      <c r="Q77" s="5"/>
      <c r="R77" s="5"/>
      <c r="S77" s="5"/>
      <c r="T77" s="5"/>
      <c r="U77" s="5"/>
      <c r="V77" s="5"/>
      <c r="W77" s="7"/>
    </row>
    <row r="78" spans="8:23">
      <c r="H78" s="5"/>
      <c r="I78" s="5"/>
      <c r="P78" s="4"/>
      <c r="Q78" s="5"/>
      <c r="R78" s="5"/>
      <c r="S78" s="5"/>
      <c r="T78" s="5"/>
      <c r="U78" s="5"/>
      <c r="V78" s="5"/>
      <c r="W78" s="7"/>
    </row>
    <row r="79" spans="8:23">
      <c r="H79" s="5"/>
      <c r="I79" s="5"/>
      <c r="P79" s="4"/>
      <c r="Q79" s="5"/>
      <c r="R79" s="5"/>
      <c r="S79" s="5"/>
      <c r="T79" s="5"/>
      <c r="U79" s="5"/>
      <c r="V79" s="5"/>
      <c r="W79" s="7"/>
    </row>
    <row r="80" spans="8:23">
      <c r="H80" s="5"/>
      <c r="I80" s="5"/>
      <c r="P80" s="4"/>
      <c r="Q80" s="5"/>
      <c r="R80" s="5"/>
      <c r="S80" s="5"/>
      <c r="T80" s="5"/>
      <c r="U80" s="5"/>
      <c r="V80" s="5"/>
      <c r="W80" s="7"/>
    </row>
    <row r="81" spans="8:23">
      <c r="H81" s="5"/>
      <c r="I81" s="5"/>
      <c r="P81" s="4"/>
      <c r="Q81" s="5"/>
      <c r="R81" s="5"/>
      <c r="S81" s="5"/>
      <c r="T81" s="5"/>
      <c r="U81" s="5"/>
      <c r="V81" s="5"/>
      <c r="W81" s="7"/>
    </row>
    <row r="82" spans="8:23">
      <c r="H82" s="5"/>
      <c r="I82" s="5"/>
      <c r="P82" s="4"/>
      <c r="Q82" s="5"/>
      <c r="R82" s="5"/>
      <c r="S82" s="5"/>
      <c r="T82" s="5"/>
      <c r="U82" s="5"/>
      <c r="V82" s="5"/>
      <c r="W82" s="7"/>
    </row>
    <row r="83" spans="8:23">
      <c r="H83" s="5"/>
      <c r="I83" s="5"/>
      <c r="P83" s="4"/>
      <c r="Q83" s="5"/>
      <c r="R83" s="5"/>
      <c r="S83" s="5"/>
      <c r="T83" s="5"/>
      <c r="U83" s="5"/>
      <c r="V83" s="5"/>
      <c r="W83" s="7"/>
    </row>
    <row r="84" spans="8:23">
      <c r="H84" s="5"/>
      <c r="I84" s="5"/>
      <c r="P84" s="4"/>
      <c r="Q84" s="5"/>
      <c r="R84" s="5"/>
      <c r="S84" s="5"/>
      <c r="T84" s="5"/>
      <c r="U84" s="5"/>
      <c r="V84" s="5"/>
      <c r="W84" s="7"/>
    </row>
    <row r="85" spans="8:23">
      <c r="H85" s="5"/>
      <c r="I85" s="5"/>
      <c r="P85" s="4"/>
      <c r="Q85" s="5"/>
      <c r="R85" s="5"/>
      <c r="S85" s="5"/>
      <c r="T85" s="5"/>
      <c r="U85" s="5"/>
      <c r="V85" s="5"/>
      <c r="W85" s="7"/>
    </row>
    <row r="86" spans="8:23">
      <c r="H86" s="5"/>
      <c r="I86" s="5"/>
      <c r="P86" s="4"/>
      <c r="Q86" s="5"/>
      <c r="R86" s="5"/>
      <c r="S86" s="5"/>
      <c r="T86" s="5"/>
      <c r="U86" s="5"/>
      <c r="V86" s="5"/>
      <c r="W86" s="7"/>
    </row>
    <row r="87" spans="8:23">
      <c r="H87" s="5"/>
      <c r="I87" s="5"/>
      <c r="P87" s="4"/>
      <c r="Q87" s="5"/>
      <c r="R87" s="5"/>
      <c r="S87" s="5"/>
      <c r="T87" s="5"/>
      <c r="U87" s="5"/>
      <c r="V87" s="5"/>
      <c r="W87" s="7"/>
    </row>
    <row r="88" spans="8:23">
      <c r="H88" s="5"/>
      <c r="I88" s="5"/>
      <c r="P88" s="4"/>
      <c r="Q88" s="5"/>
      <c r="R88" s="5"/>
      <c r="S88" s="5"/>
      <c r="T88" s="5"/>
      <c r="U88" s="5"/>
      <c r="V88" s="5"/>
      <c r="W88" s="7"/>
    </row>
    <row r="89" spans="8:23">
      <c r="H89" s="5"/>
      <c r="I89" s="5"/>
      <c r="P89" s="4"/>
      <c r="Q89" s="5"/>
      <c r="R89" s="5"/>
      <c r="S89" s="5"/>
      <c r="T89" s="5"/>
      <c r="U89" s="5"/>
      <c r="V89" s="5"/>
      <c r="W89" s="7"/>
    </row>
    <row r="90" spans="8:23">
      <c r="H90" s="5"/>
      <c r="I90" s="5"/>
      <c r="P90" s="4"/>
      <c r="Q90" s="5"/>
      <c r="R90" s="5"/>
      <c r="S90" s="5"/>
      <c r="T90" s="5"/>
      <c r="U90" s="5"/>
      <c r="V90" s="5"/>
      <c r="W90" s="7"/>
    </row>
    <row r="91" spans="8:23">
      <c r="H91" s="5"/>
      <c r="I91" s="5"/>
      <c r="P91" s="4"/>
      <c r="Q91" s="5"/>
      <c r="R91" s="5"/>
      <c r="S91" s="5"/>
      <c r="T91" s="5"/>
      <c r="U91" s="5"/>
      <c r="V91" s="5"/>
      <c r="W91" s="7"/>
    </row>
    <row r="92" spans="8:23">
      <c r="H92" s="5"/>
      <c r="I92" s="5"/>
      <c r="P92" s="4"/>
      <c r="Q92" s="5"/>
      <c r="R92" s="5"/>
      <c r="S92" s="5"/>
      <c r="T92" s="5"/>
      <c r="U92" s="5"/>
      <c r="V92" s="5"/>
      <c r="W92" s="7"/>
    </row>
    <row r="93" spans="8:23">
      <c r="H93" s="5"/>
      <c r="I93" s="5"/>
      <c r="P93" s="4"/>
      <c r="Q93" s="5"/>
      <c r="R93" s="5"/>
      <c r="S93" s="5"/>
      <c r="T93" s="5"/>
      <c r="U93" s="5"/>
      <c r="V93" s="5"/>
      <c r="W93" s="7"/>
    </row>
    <row r="94" spans="8:23">
      <c r="H94" s="5"/>
      <c r="I94" s="5"/>
      <c r="P94" s="4"/>
      <c r="Q94" s="5"/>
      <c r="R94" s="5"/>
      <c r="S94" s="5"/>
      <c r="T94" s="5"/>
      <c r="U94" s="5"/>
      <c r="V94" s="5"/>
      <c r="W94" s="7"/>
    </row>
    <row r="95" spans="8:23">
      <c r="H95" s="5"/>
      <c r="I95" s="5"/>
      <c r="P95" s="4"/>
      <c r="Q95" s="5"/>
      <c r="R95" s="5"/>
      <c r="S95" s="5"/>
      <c r="T95" s="5"/>
      <c r="U95" s="5"/>
      <c r="V95" s="5"/>
      <c r="W95" s="7"/>
    </row>
    <row r="96" spans="8:23">
      <c r="H96" s="5"/>
      <c r="I96" s="5"/>
      <c r="P96" s="4"/>
      <c r="Q96" s="5"/>
      <c r="R96" s="5"/>
      <c r="S96" s="5"/>
      <c r="T96" s="5"/>
      <c r="U96" s="5"/>
      <c r="V96" s="5"/>
      <c r="W96" s="7"/>
    </row>
    <row r="97" spans="8:23">
      <c r="H97" s="5"/>
      <c r="I97" s="5"/>
      <c r="P97" s="4"/>
      <c r="Q97" s="5"/>
      <c r="R97" s="5"/>
      <c r="S97" s="5"/>
      <c r="T97" s="5"/>
      <c r="U97" s="5"/>
      <c r="V97" s="5"/>
      <c r="W97" s="7"/>
    </row>
    <row r="98" spans="8:23">
      <c r="H98" s="5"/>
      <c r="I98" s="5"/>
      <c r="P98" s="4"/>
      <c r="Q98" s="5"/>
      <c r="R98" s="5"/>
      <c r="S98" s="5"/>
      <c r="T98" s="5"/>
      <c r="U98" s="5"/>
      <c r="V98" s="5"/>
      <c r="W98" s="7"/>
    </row>
    <row r="99" spans="8:23">
      <c r="H99" s="5"/>
      <c r="I99" s="5"/>
      <c r="P99" s="4"/>
      <c r="Q99" s="5"/>
      <c r="R99" s="5"/>
      <c r="S99" s="5"/>
      <c r="T99" s="5"/>
      <c r="U99" s="5"/>
      <c r="V99" s="5"/>
      <c r="W99" s="7"/>
    </row>
    <row r="100" spans="8:23">
      <c r="H100" s="5"/>
      <c r="I100" s="5"/>
      <c r="P100" s="4"/>
      <c r="Q100" s="5"/>
      <c r="R100" s="5"/>
      <c r="S100" s="5"/>
      <c r="T100" s="5"/>
      <c r="U100" s="5"/>
      <c r="V100" s="5"/>
      <c r="W100" s="7"/>
    </row>
  </sheetData>
  <conditionalFormatting sqref="X2:X100">
    <cfRule type="expression" dxfId="9" priority="1">
      <formula>X2="Stockout Risk"</formula>
    </cfRule>
    <cfRule type="expression" dxfId="8" priority="2">
      <formula>X2="Excess Stock"</formula>
    </cfRule>
    <cfRule type="expression" dxfId="7" priority="3">
      <formula>X2="Balanced"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"/>
  <sheetViews>
    <sheetView workbookViewId="0">
      <selection activeCell="M2" sqref="M2"/>
    </sheetView>
  </sheetViews>
  <sheetFormatPr baseColWidth="10" defaultColWidth="8.83203125" defaultRowHeight="15"/>
  <cols>
    <col min="1" max="4" width="18" customWidth="1"/>
    <col min="7" max="17" width="14" customWidth="1"/>
  </cols>
  <sheetData>
    <row r="1" spans="1:14" ht="32" customHeight="1">
      <c r="A1" s="2" t="s">
        <v>545</v>
      </c>
      <c r="B1" s="2" t="s">
        <v>618</v>
      </c>
      <c r="C1" s="2" t="s">
        <v>619</v>
      </c>
      <c r="D1" s="2" t="s">
        <v>620</v>
      </c>
      <c r="G1" s="2" t="s">
        <v>545</v>
      </c>
      <c r="H1" s="2" t="s">
        <v>570</v>
      </c>
      <c r="I1" s="2" t="s">
        <v>574</v>
      </c>
      <c r="J1" s="2" t="s">
        <v>572</v>
      </c>
      <c r="K1" s="2" t="s">
        <v>559</v>
      </c>
      <c r="L1" s="2" t="s">
        <v>580</v>
      </c>
      <c r="M1" s="2" t="s">
        <v>568</v>
      </c>
      <c r="N1" s="2" t="s">
        <v>564</v>
      </c>
    </row>
    <row r="2" spans="1:14">
      <c r="A2" s="8">
        <v>45292</v>
      </c>
      <c r="B2">
        <v>2150</v>
      </c>
      <c r="D2" s="6"/>
      <c r="G2" s="8">
        <v>45292</v>
      </c>
      <c r="H2">
        <v>283</v>
      </c>
      <c r="I2">
        <v>171</v>
      </c>
      <c r="J2">
        <v>247</v>
      </c>
      <c r="K2">
        <v>342</v>
      </c>
      <c r="L2">
        <v>954</v>
      </c>
      <c r="M2">
        <v>91</v>
      </c>
      <c r="N2">
        <v>62</v>
      </c>
    </row>
    <row r="3" spans="1:14">
      <c r="A3" s="8">
        <v>45323</v>
      </c>
      <c r="B3">
        <v>2201</v>
      </c>
      <c r="C3">
        <v>51</v>
      </c>
      <c r="D3" s="6">
        <v>2.3720930232558141E-2</v>
      </c>
      <c r="G3" s="8">
        <v>45323</v>
      </c>
      <c r="H3">
        <v>322</v>
      </c>
      <c r="I3">
        <v>164</v>
      </c>
      <c r="J3">
        <v>298</v>
      </c>
      <c r="K3">
        <v>322</v>
      </c>
      <c r="L3">
        <v>978</v>
      </c>
      <c r="M3">
        <v>86</v>
      </c>
      <c r="N3">
        <v>31</v>
      </c>
    </row>
    <row r="4" spans="1:14">
      <c r="A4" s="8">
        <v>45352</v>
      </c>
      <c r="B4">
        <v>2337</v>
      </c>
      <c r="C4">
        <v>136</v>
      </c>
      <c r="D4" s="6">
        <v>6.1790095411176728E-2</v>
      </c>
      <c r="G4" s="8">
        <v>45352</v>
      </c>
      <c r="H4">
        <v>289</v>
      </c>
      <c r="I4">
        <v>228</v>
      </c>
      <c r="J4">
        <v>298</v>
      </c>
      <c r="K4">
        <v>438</v>
      </c>
      <c r="L4">
        <v>969</v>
      </c>
      <c r="M4">
        <v>64</v>
      </c>
      <c r="N4">
        <v>51</v>
      </c>
    </row>
    <row r="5" spans="1:14">
      <c r="A5" s="8">
        <v>45383</v>
      </c>
      <c r="B5">
        <v>2796</v>
      </c>
      <c r="C5">
        <v>459</v>
      </c>
      <c r="D5" s="6">
        <v>0.19640564826700899</v>
      </c>
      <c r="G5" s="8">
        <v>45383</v>
      </c>
      <c r="H5">
        <v>258</v>
      </c>
      <c r="I5">
        <v>229</v>
      </c>
      <c r="J5">
        <v>262</v>
      </c>
      <c r="K5">
        <v>486</v>
      </c>
      <c r="L5">
        <v>1374</v>
      </c>
      <c r="M5">
        <v>138</v>
      </c>
      <c r="N5">
        <v>49</v>
      </c>
    </row>
    <row r="6" spans="1:14">
      <c r="A6" s="8">
        <v>45413</v>
      </c>
      <c r="B6">
        <v>2531</v>
      </c>
      <c r="C6">
        <v>-265</v>
      </c>
      <c r="D6" s="6">
        <v>-9.477825464949928E-2</v>
      </c>
      <c r="G6" s="8">
        <v>45413</v>
      </c>
      <c r="H6">
        <v>386</v>
      </c>
      <c r="I6">
        <v>175</v>
      </c>
      <c r="J6">
        <v>173</v>
      </c>
      <c r="K6">
        <v>426</v>
      </c>
      <c r="L6">
        <v>1248</v>
      </c>
      <c r="M6">
        <v>123</v>
      </c>
      <c r="N6">
        <v>0</v>
      </c>
    </row>
    <row r="7" spans="1:14">
      <c r="A7" s="8">
        <v>45444</v>
      </c>
      <c r="B7">
        <v>2303</v>
      </c>
      <c r="C7">
        <v>-228</v>
      </c>
      <c r="D7" s="6">
        <v>-9.00829711576452E-2</v>
      </c>
      <c r="G7" s="8">
        <v>45444</v>
      </c>
      <c r="H7">
        <v>238</v>
      </c>
      <c r="I7">
        <v>178</v>
      </c>
      <c r="J7">
        <v>315</v>
      </c>
      <c r="K7">
        <v>415</v>
      </c>
      <c r="L7">
        <v>1046</v>
      </c>
      <c r="M7">
        <v>90</v>
      </c>
      <c r="N7">
        <v>21</v>
      </c>
    </row>
    <row r="8" spans="1:14">
      <c r="A8" s="8">
        <v>45474</v>
      </c>
      <c r="B8">
        <v>2154</v>
      </c>
      <c r="C8">
        <v>-149</v>
      </c>
      <c r="D8" s="6">
        <v>-6.4698219713417285E-2</v>
      </c>
      <c r="G8" s="8">
        <v>45474</v>
      </c>
      <c r="H8">
        <v>305</v>
      </c>
      <c r="I8">
        <v>195</v>
      </c>
      <c r="J8">
        <v>213</v>
      </c>
      <c r="K8">
        <v>393</v>
      </c>
      <c r="L8">
        <v>921</v>
      </c>
      <c r="M8">
        <v>69</v>
      </c>
      <c r="N8">
        <v>58</v>
      </c>
    </row>
    <row r="9" spans="1:14">
      <c r="A9" s="8">
        <v>45505</v>
      </c>
      <c r="B9">
        <v>2511</v>
      </c>
      <c r="C9">
        <v>357</v>
      </c>
      <c r="D9" s="6">
        <v>0.1657381615598886</v>
      </c>
      <c r="G9" s="8">
        <v>45505</v>
      </c>
      <c r="H9">
        <v>235</v>
      </c>
      <c r="I9">
        <v>147</v>
      </c>
      <c r="J9">
        <v>408</v>
      </c>
      <c r="K9">
        <v>388</v>
      </c>
      <c r="L9">
        <v>1258</v>
      </c>
      <c r="M9">
        <v>48</v>
      </c>
      <c r="N9">
        <v>27</v>
      </c>
    </row>
    <row r="10" spans="1:14">
      <c r="A10" s="8">
        <v>45536</v>
      </c>
      <c r="B10">
        <v>2303</v>
      </c>
      <c r="C10">
        <v>-208</v>
      </c>
      <c r="D10" s="6">
        <v>-8.2835523695738753E-2</v>
      </c>
      <c r="G10" s="8">
        <v>45536</v>
      </c>
      <c r="H10">
        <v>325</v>
      </c>
      <c r="I10">
        <v>215</v>
      </c>
      <c r="J10">
        <v>223</v>
      </c>
      <c r="K10">
        <v>439</v>
      </c>
      <c r="L10">
        <v>960</v>
      </c>
      <c r="M10">
        <v>121</v>
      </c>
      <c r="N10">
        <v>20</v>
      </c>
    </row>
    <row r="11" spans="1:14">
      <c r="A11" s="8">
        <v>45566</v>
      </c>
      <c r="B11">
        <v>2468</v>
      </c>
      <c r="C11">
        <v>165</v>
      </c>
      <c r="D11" s="6">
        <v>7.1645679548415109E-2</v>
      </c>
      <c r="G11" s="8">
        <v>45566</v>
      </c>
      <c r="H11">
        <v>293</v>
      </c>
      <c r="I11">
        <v>184</v>
      </c>
      <c r="J11">
        <v>278</v>
      </c>
      <c r="K11">
        <v>421</v>
      </c>
      <c r="L11">
        <v>1054</v>
      </c>
      <c r="M11">
        <v>200</v>
      </c>
      <c r="N11">
        <v>38</v>
      </c>
    </row>
    <row r="12" spans="1:14">
      <c r="A12" s="8">
        <v>45597</v>
      </c>
      <c r="B12">
        <v>2618</v>
      </c>
      <c r="C12">
        <v>150</v>
      </c>
      <c r="D12" s="6">
        <v>6.0777957860615878E-2</v>
      </c>
      <c r="G12" s="8">
        <v>45597</v>
      </c>
      <c r="H12">
        <v>387</v>
      </c>
      <c r="I12">
        <v>210</v>
      </c>
      <c r="J12">
        <v>310</v>
      </c>
      <c r="K12">
        <v>518</v>
      </c>
      <c r="L12">
        <v>1069</v>
      </c>
      <c r="M12">
        <v>70</v>
      </c>
      <c r="N12">
        <v>54</v>
      </c>
    </row>
    <row r="13" spans="1:14">
      <c r="A13" s="8">
        <v>45627</v>
      </c>
      <c r="B13">
        <v>2701</v>
      </c>
      <c r="C13">
        <v>83</v>
      </c>
      <c r="D13" s="6">
        <v>3.1703590527119942E-2</v>
      </c>
      <c r="G13" s="8">
        <v>45627</v>
      </c>
      <c r="H13">
        <v>267</v>
      </c>
      <c r="I13">
        <v>164</v>
      </c>
      <c r="J13">
        <v>331</v>
      </c>
      <c r="K13">
        <v>527</v>
      </c>
      <c r="L13">
        <v>1296</v>
      </c>
      <c r="M13">
        <v>78</v>
      </c>
      <c r="N13">
        <v>38</v>
      </c>
    </row>
    <row r="14" spans="1:14">
      <c r="A14" s="8">
        <v>45658</v>
      </c>
      <c r="B14">
        <v>2410</v>
      </c>
      <c r="C14">
        <v>-291</v>
      </c>
      <c r="D14" s="6">
        <v>-0.1077378748611625</v>
      </c>
      <c r="G14" s="8">
        <v>45658</v>
      </c>
      <c r="H14">
        <v>341</v>
      </c>
      <c r="I14">
        <v>176</v>
      </c>
      <c r="J14">
        <v>211</v>
      </c>
      <c r="K14">
        <v>431</v>
      </c>
      <c r="L14">
        <v>1167</v>
      </c>
      <c r="M14">
        <v>68</v>
      </c>
      <c r="N14">
        <v>16</v>
      </c>
    </row>
    <row r="15" spans="1:14">
      <c r="A15" s="8">
        <v>45689</v>
      </c>
      <c r="B15">
        <v>2160</v>
      </c>
      <c r="C15">
        <v>-250</v>
      </c>
      <c r="D15" s="6">
        <v>-0.1037344398340249</v>
      </c>
      <c r="G15" s="8">
        <v>45689</v>
      </c>
      <c r="H15">
        <v>247</v>
      </c>
      <c r="I15">
        <v>202</v>
      </c>
      <c r="J15">
        <v>137</v>
      </c>
      <c r="K15">
        <v>477</v>
      </c>
      <c r="L15">
        <v>1005</v>
      </c>
      <c r="M15">
        <v>75</v>
      </c>
      <c r="N15">
        <v>17</v>
      </c>
    </row>
    <row r="16" spans="1:14">
      <c r="A16" s="8">
        <v>45717</v>
      </c>
      <c r="B16">
        <v>2360</v>
      </c>
      <c r="C16">
        <v>200</v>
      </c>
      <c r="D16" s="6">
        <v>9.2592592592592587E-2</v>
      </c>
      <c r="G16" s="8">
        <v>45717</v>
      </c>
      <c r="H16">
        <v>328</v>
      </c>
      <c r="I16">
        <v>168</v>
      </c>
      <c r="J16">
        <v>173</v>
      </c>
      <c r="K16">
        <v>441</v>
      </c>
      <c r="L16">
        <v>1210</v>
      </c>
      <c r="M16">
        <v>40</v>
      </c>
      <c r="N16">
        <v>0</v>
      </c>
    </row>
    <row r="17" spans="1:14">
      <c r="A17" s="8">
        <v>45748</v>
      </c>
      <c r="B17">
        <v>2474</v>
      </c>
      <c r="C17">
        <v>114</v>
      </c>
      <c r="D17" s="6">
        <v>4.8305084745762707E-2</v>
      </c>
      <c r="G17" s="8">
        <v>45748</v>
      </c>
      <c r="H17">
        <v>257</v>
      </c>
      <c r="I17">
        <v>150</v>
      </c>
      <c r="J17">
        <v>323</v>
      </c>
      <c r="K17">
        <v>551</v>
      </c>
      <c r="L17">
        <v>1104</v>
      </c>
      <c r="M17">
        <v>73</v>
      </c>
      <c r="N17">
        <v>16</v>
      </c>
    </row>
    <row r="18" spans="1:14">
      <c r="A18" s="8">
        <v>45778</v>
      </c>
      <c r="B18">
        <v>2427</v>
      </c>
      <c r="C18">
        <v>-47</v>
      </c>
      <c r="D18" s="6">
        <v>-1.8997574777687959E-2</v>
      </c>
      <c r="G18" s="8">
        <v>45778</v>
      </c>
      <c r="H18">
        <v>293</v>
      </c>
      <c r="I18">
        <v>192</v>
      </c>
      <c r="J18">
        <v>290</v>
      </c>
      <c r="K18">
        <v>471</v>
      </c>
      <c r="L18">
        <v>1074</v>
      </c>
      <c r="M18">
        <v>91</v>
      </c>
      <c r="N18">
        <v>16</v>
      </c>
    </row>
    <row r="19" spans="1:14">
      <c r="A19" s="8">
        <v>45809</v>
      </c>
      <c r="B19">
        <v>2472</v>
      </c>
      <c r="C19">
        <v>45</v>
      </c>
      <c r="D19" s="6">
        <v>1.8541409147095182E-2</v>
      </c>
      <c r="G19" s="8">
        <v>45809</v>
      </c>
      <c r="H19">
        <v>317</v>
      </c>
      <c r="I19">
        <v>208</v>
      </c>
      <c r="J19">
        <v>159</v>
      </c>
      <c r="K19">
        <v>514</v>
      </c>
      <c r="L19">
        <v>1185</v>
      </c>
      <c r="M19">
        <v>50</v>
      </c>
      <c r="N19">
        <v>39</v>
      </c>
    </row>
    <row r="20" spans="1:14">
      <c r="A20" s="8"/>
      <c r="D20" s="6"/>
    </row>
    <row r="21" spans="1:14">
      <c r="A21" s="8"/>
      <c r="D21" s="6"/>
    </row>
    <row r="22" spans="1:14">
      <c r="A22" s="8"/>
      <c r="D22" s="6"/>
    </row>
    <row r="23" spans="1:14">
      <c r="A23" s="8"/>
      <c r="D23" s="6"/>
    </row>
    <row r="24" spans="1:14">
      <c r="A24" s="8"/>
      <c r="D24" s="6"/>
    </row>
    <row r="25" spans="1:14">
      <c r="A25" s="8"/>
      <c r="D25" s="6"/>
    </row>
    <row r="26" spans="1:14">
      <c r="A26" s="8"/>
      <c r="D26" s="6"/>
    </row>
    <row r="27" spans="1:14">
      <c r="A27" s="8"/>
      <c r="D27" s="6"/>
    </row>
    <row r="28" spans="1:14">
      <c r="A28" s="8"/>
      <c r="D28" s="6"/>
    </row>
    <row r="29" spans="1:14">
      <c r="A29" s="8"/>
      <c r="D29" s="6"/>
    </row>
    <row r="30" spans="1:14">
      <c r="A30" s="8"/>
      <c r="D30" s="6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101"/>
  <sheetViews>
    <sheetView showGridLines="0" tabSelected="1" zoomScale="70" zoomScaleNormal="70" workbookViewId="0">
      <selection activeCell="G44" sqref="G44"/>
    </sheetView>
  </sheetViews>
  <sheetFormatPr baseColWidth="10" defaultColWidth="8.83203125" defaultRowHeight="15"/>
  <cols>
    <col min="2" max="2" width="16" customWidth="1"/>
    <col min="3" max="3" width="28" customWidth="1"/>
    <col min="4" max="5" width="16" customWidth="1"/>
    <col min="6" max="6" width="23.1640625" customWidth="1"/>
    <col min="7" max="9" width="16" customWidth="1"/>
    <col min="10" max="10" width="19" customWidth="1"/>
    <col min="11" max="11" width="16" customWidth="1"/>
    <col min="12" max="12" width="58.33203125" bestFit="1" customWidth="1"/>
    <col min="13" max="13" width="68.1640625" bestFit="1" customWidth="1"/>
  </cols>
  <sheetData>
    <row r="2" spans="2:13" ht="32" customHeight="1">
      <c r="B2" s="2" t="s">
        <v>30</v>
      </c>
      <c r="C2" s="2" t="s">
        <v>59</v>
      </c>
      <c r="D2" s="2" t="s">
        <v>546</v>
      </c>
      <c r="E2" s="2" t="s">
        <v>50</v>
      </c>
      <c r="F2" s="2" t="s">
        <v>594</v>
      </c>
      <c r="G2" s="2" t="s">
        <v>553</v>
      </c>
      <c r="H2" s="2" t="s">
        <v>596</v>
      </c>
      <c r="I2" s="2" t="s">
        <v>613</v>
      </c>
      <c r="J2" s="2" t="s">
        <v>614</v>
      </c>
      <c r="K2" s="2" t="s">
        <v>621</v>
      </c>
      <c r="L2" s="2" t="s">
        <v>622</v>
      </c>
      <c r="M2" s="2" t="s">
        <v>623</v>
      </c>
    </row>
    <row r="3" spans="2:13">
      <c r="B3" t="s">
        <v>45</v>
      </c>
      <c r="C3" t="s">
        <v>66</v>
      </c>
      <c r="D3" t="s">
        <v>559</v>
      </c>
      <c r="E3" t="s">
        <v>54</v>
      </c>
      <c r="F3" t="s">
        <v>601</v>
      </c>
      <c r="G3" s="5">
        <v>63</v>
      </c>
      <c r="H3" s="5">
        <v>143.5</v>
      </c>
      <c r="I3" s="5">
        <v>184.92184184260429</v>
      </c>
      <c r="J3" s="5">
        <v>0.43902439024390238</v>
      </c>
      <c r="K3" t="s">
        <v>41</v>
      </c>
      <c r="L3" t="s">
        <v>624</v>
      </c>
      <c r="M3" t="s">
        <v>625</v>
      </c>
    </row>
    <row r="4" spans="2:13">
      <c r="B4" t="s">
        <v>47</v>
      </c>
      <c r="C4" t="s">
        <v>90</v>
      </c>
      <c r="D4" t="s">
        <v>559</v>
      </c>
      <c r="E4" t="s">
        <v>54</v>
      </c>
      <c r="F4" t="s">
        <v>603</v>
      </c>
      <c r="G4" s="5">
        <v>96</v>
      </c>
      <c r="H4" s="5">
        <v>106</v>
      </c>
      <c r="I4" s="5">
        <v>176.72142316879379</v>
      </c>
      <c r="J4" s="5">
        <v>0.90566037735849059</v>
      </c>
      <c r="K4" t="s">
        <v>41</v>
      </c>
      <c r="L4" t="s">
        <v>626</v>
      </c>
      <c r="M4" t="s">
        <v>625</v>
      </c>
    </row>
    <row r="5" spans="2:13">
      <c r="B5" t="s">
        <v>128</v>
      </c>
      <c r="C5" t="s">
        <v>129</v>
      </c>
      <c r="D5" t="s">
        <v>564</v>
      </c>
      <c r="E5" t="s">
        <v>57</v>
      </c>
      <c r="F5" t="s">
        <v>605</v>
      </c>
      <c r="G5" s="5">
        <v>12</v>
      </c>
      <c r="H5" s="5">
        <v>0</v>
      </c>
      <c r="I5" s="5">
        <v>28.008056876548931</v>
      </c>
      <c r="J5" s="5">
        <v>999</v>
      </c>
      <c r="K5" t="s">
        <v>41</v>
      </c>
      <c r="L5" t="s">
        <v>627</v>
      </c>
      <c r="M5" t="s">
        <v>625</v>
      </c>
    </row>
    <row r="6" spans="2:13">
      <c r="B6" t="s">
        <v>148</v>
      </c>
      <c r="C6" t="s">
        <v>149</v>
      </c>
      <c r="D6" t="s">
        <v>564</v>
      </c>
      <c r="E6" t="s">
        <v>54</v>
      </c>
      <c r="F6" t="s">
        <v>607</v>
      </c>
      <c r="G6" s="5">
        <v>38</v>
      </c>
      <c r="H6" s="5">
        <v>11.83333333333333</v>
      </c>
      <c r="I6" s="5">
        <v>40.526493178229593</v>
      </c>
      <c r="J6" s="5">
        <v>3.211267605633803</v>
      </c>
      <c r="K6" t="s">
        <v>41</v>
      </c>
      <c r="L6" t="s">
        <v>628</v>
      </c>
      <c r="M6" t="s">
        <v>625</v>
      </c>
    </row>
    <row r="7" spans="2:13">
      <c r="B7" t="s">
        <v>49</v>
      </c>
      <c r="C7" t="s">
        <v>188</v>
      </c>
      <c r="D7" t="s">
        <v>559</v>
      </c>
      <c r="E7" t="s">
        <v>54</v>
      </c>
      <c r="F7" t="s">
        <v>603</v>
      </c>
      <c r="G7" s="5">
        <v>107</v>
      </c>
      <c r="H7" s="5">
        <v>99</v>
      </c>
      <c r="I7" s="5">
        <v>128.58351583200451</v>
      </c>
      <c r="J7" s="5">
        <v>1.0808080808080811</v>
      </c>
      <c r="K7" t="s">
        <v>41</v>
      </c>
      <c r="L7" t="s">
        <v>629</v>
      </c>
      <c r="M7" t="s">
        <v>625</v>
      </c>
    </row>
    <row r="8" spans="2:13">
      <c r="B8" t="s">
        <v>246</v>
      </c>
      <c r="C8" t="s">
        <v>247</v>
      </c>
      <c r="D8" t="s">
        <v>572</v>
      </c>
      <c r="E8" t="s">
        <v>57</v>
      </c>
      <c r="F8" t="s">
        <v>605</v>
      </c>
      <c r="G8" s="5">
        <v>77</v>
      </c>
      <c r="H8" s="5">
        <v>0</v>
      </c>
      <c r="I8" s="5">
        <v>87.682160386249606</v>
      </c>
      <c r="J8" s="5">
        <v>999</v>
      </c>
      <c r="K8" t="s">
        <v>41</v>
      </c>
      <c r="L8" t="s">
        <v>630</v>
      </c>
      <c r="M8" t="s">
        <v>625</v>
      </c>
    </row>
    <row r="9" spans="2:13">
      <c r="B9" t="s">
        <v>266</v>
      </c>
      <c r="C9" t="s">
        <v>267</v>
      </c>
      <c r="D9" t="s">
        <v>568</v>
      </c>
      <c r="E9" t="s">
        <v>54</v>
      </c>
      <c r="F9" t="s">
        <v>609</v>
      </c>
      <c r="G9" s="5">
        <v>106</v>
      </c>
      <c r="H9" s="5">
        <v>29.5</v>
      </c>
      <c r="I9" s="5">
        <v>129.7869184648346</v>
      </c>
      <c r="J9" s="5">
        <v>3.593220338983051</v>
      </c>
      <c r="K9" t="s">
        <v>41</v>
      </c>
      <c r="L9" t="s">
        <v>631</v>
      </c>
      <c r="M9" t="s">
        <v>625</v>
      </c>
    </row>
    <row r="10" spans="2:13">
      <c r="B10" t="s">
        <v>306</v>
      </c>
      <c r="C10" t="s">
        <v>307</v>
      </c>
      <c r="D10" t="s">
        <v>574</v>
      </c>
      <c r="E10" t="s">
        <v>54</v>
      </c>
      <c r="F10" t="s">
        <v>603</v>
      </c>
      <c r="G10" s="5">
        <v>18</v>
      </c>
      <c r="H10" s="5">
        <v>9.3333333333333339</v>
      </c>
      <c r="I10" s="5">
        <v>30.517021166080909</v>
      </c>
      <c r="J10" s="5">
        <v>1.9285714285714279</v>
      </c>
      <c r="K10" t="s">
        <v>41</v>
      </c>
      <c r="L10" t="s">
        <v>632</v>
      </c>
      <c r="M10" t="s">
        <v>625</v>
      </c>
    </row>
    <row r="11" spans="2:13">
      <c r="B11" t="s">
        <v>53</v>
      </c>
      <c r="C11" t="s">
        <v>326</v>
      </c>
      <c r="D11" t="s">
        <v>574</v>
      </c>
      <c r="E11" t="s">
        <v>56</v>
      </c>
      <c r="F11" t="s">
        <v>601</v>
      </c>
      <c r="G11" s="5">
        <v>41</v>
      </c>
      <c r="H11" s="5">
        <v>53.833333333333343</v>
      </c>
      <c r="I11" s="5">
        <v>84.399702621369471</v>
      </c>
      <c r="J11" s="5">
        <v>0.76160990712074295</v>
      </c>
      <c r="K11" t="s">
        <v>41</v>
      </c>
      <c r="L11" t="s">
        <v>633</v>
      </c>
      <c r="M11" t="s">
        <v>625</v>
      </c>
    </row>
    <row r="12" spans="2:13">
      <c r="B12" t="s">
        <v>365</v>
      </c>
      <c r="C12" t="s">
        <v>366</v>
      </c>
      <c r="D12" t="s">
        <v>574</v>
      </c>
      <c r="E12" t="s">
        <v>56</v>
      </c>
      <c r="F12" t="s">
        <v>605</v>
      </c>
      <c r="G12" s="5">
        <v>46</v>
      </c>
      <c r="H12" s="5">
        <v>21.5</v>
      </c>
      <c r="I12" s="5">
        <v>59.160997556641369</v>
      </c>
      <c r="J12" s="5">
        <v>2.13953488372093</v>
      </c>
      <c r="K12" t="s">
        <v>41</v>
      </c>
      <c r="L12" t="s">
        <v>634</v>
      </c>
      <c r="M12" t="s">
        <v>625</v>
      </c>
    </row>
    <row r="13" spans="2:13">
      <c r="B13" t="s">
        <v>385</v>
      </c>
      <c r="C13" t="s">
        <v>386</v>
      </c>
      <c r="D13" t="s">
        <v>574</v>
      </c>
      <c r="E13" t="s">
        <v>56</v>
      </c>
      <c r="F13" t="s">
        <v>607</v>
      </c>
      <c r="G13" s="5">
        <v>29</v>
      </c>
      <c r="H13" s="5">
        <v>10.5</v>
      </c>
      <c r="I13" s="5">
        <v>41.346681491599512</v>
      </c>
      <c r="J13" s="5">
        <v>2.7619047619047619</v>
      </c>
      <c r="K13" t="s">
        <v>41</v>
      </c>
      <c r="L13" t="s">
        <v>635</v>
      </c>
      <c r="M13" t="s">
        <v>625</v>
      </c>
    </row>
    <row r="14" spans="2:13">
      <c r="B14" t="s">
        <v>37</v>
      </c>
      <c r="C14" t="s">
        <v>405</v>
      </c>
      <c r="D14" t="s">
        <v>580</v>
      </c>
      <c r="E14" t="s">
        <v>54</v>
      </c>
      <c r="F14" t="s">
        <v>601</v>
      </c>
      <c r="G14" s="5">
        <v>3412</v>
      </c>
      <c r="H14" s="5">
        <v>478.66666666666669</v>
      </c>
      <c r="I14" s="5">
        <v>406.36376599033781</v>
      </c>
      <c r="J14" s="5">
        <v>7.1281337047353759</v>
      </c>
      <c r="K14" t="s">
        <v>38</v>
      </c>
      <c r="L14" t="s">
        <v>636</v>
      </c>
      <c r="M14" t="s">
        <v>637</v>
      </c>
    </row>
    <row r="15" spans="2:13">
      <c r="B15" t="s">
        <v>443</v>
      </c>
      <c r="C15" t="s">
        <v>444</v>
      </c>
      <c r="D15" t="s">
        <v>570</v>
      </c>
      <c r="E15" t="s">
        <v>54</v>
      </c>
      <c r="F15" t="s">
        <v>601</v>
      </c>
      <c r="G15" s="5">
        <v>20</v>
      </c>
      <c r="H15" s="5">
        <v>44.5</v>
      </c>
      <c r="I15" s="5">
        <v>59.125384610327337</v>
      </c>
      <c r="J15" s="5">
        <v>0.449438202247191</v>
      </c>
      <c r="K15" t="s">
        <v>41</v>
      </c>
      <c r="L15" t="s">
        <v>638</v>
      </c>
      <c r="M15" t="s">
        <v>625</v>
      </c>
    </row>
    <row r="16" spans="2:13">
      <c r="B16" t="s">
        <v>463</v>
      </c>
      <c r="C16" t="s">
        <v>464</v>
      </c>
      <c r="D16" t="s">
        <v>574</v>
      </c>
      <c r="E16" t="s">
        <v>54</v>
      </c>
      <c r="F16" t="s">
        <v>601</v>
      </c>
      <c r="G16" s="5">
        <v>20</v>
      </c>
      <c r="H16" s="5">
        <v>14.5</v>
      </c>
      <c r="I16" s="5">
        <v>36.067796686379708</v>
      </c>
      <c r="J16" s="5">
        <v>1.3793103448275861</v>
      </c>
      <c r="K16" t="s">
        <v>41</v>
      </c>
      <c r="L16" t="s">
        <v>639</v>
      </c>
      <c r="M16" t="s">
        <v>625</v>
      </c>
    </row>
    <row r="17" spans="2:13">
      <c r="B17" t="s">
        <v>483</v>
      </c>
      <c r="C17" t="s">
        <v>484</v>
      </c>
      <c r="D17" t="s">
        <v>574</v>
      </c>
      <c r="E17" t="s">
        <v>57</v>
      </c>
      <c r="F17" t="s">
        <v>605</v>
      </c>
      <c r="G17" s="5">
        <v>6</v>
      </c>
      <c r="H17" s="5">
        <v>2</v>
      </c>
      <c r="I17" s="5">
        <v>10.44977063737548</v>
      </c>
      <c r="J17" s="5">
        <v>3</v>
      </c>
      <c r="K17" t="s">
        <v>41</v>
      </c>
      <c r="L17" t="s">
        <v>640</v>
      </c>
      <c r="M17" t="s">
        <v>625</v>
      </c>
    </row>
    <row r="18" spans="2:13">
      <c r="B18" t="s">
        <v>503</v>
      </c>
      <c r="C18" t="s">
        <v>504</v>
      </c>
      <c r="D18" t="s">
        <v>574</v>
      </c>
      <c r="E18" t="s">
        <v>54</v>
      </c>
      <c r="F18" t="s">
        <v>609</v>
      </c>
      <c r="G18" s="5">
        <v>39</v>
      </c>
      <c r="H18" s="5">
        <v>14</v>
      </c>
      <c r="I18" s="5">
        <v>56.782244891956218</v>
      </c>
      <c r="J18" s="5">
        <v>2.785714285714286</v>
      </c>
      <c r="K18" t="s">
        <v>41</v>
      </c>
      <c r="L18" t="s">
        <v>641</v>
      </c>
      <c r="M18" t="s">
        <v>625</v>
      </c>
    </row>
    <row r="19" spans="2:13">
      <c r="B19" t="s">
        <v>53</v>
      </c>
      <c r="C19" t="s">
        <v>326</v>
      </c>
      <c r="D19" t="s">
        <v>574</v>
      </c>
      <c r="G19" s="5"/>
      <c r="H19" s="5"/>
      <c r="I19" s="5"/>
      <c r="J19" s="5"/>
      <c r="K19" t="s">
        <v>642</v>
      </c>
      <c r="L19" t="s">
        <v>643</v>
      </c>
      <c r="M19" t="s">
        <v>644</v>
      </c>
    </row>
    <row r="20" spans="2:13">
      <c r="B20" t="s">
        <v>463</v>
      </c>
      <c r="C20" t="s">
        <v>464</v>
      </c>
      <c r="D20" t="s">
        <v>574</v>
      </c>
      <c r="G20" s="5"/>
      <c r="H20" s="5"/>
      <c r="I20" s="5"/>
      <c r="J20" s="5"/>
      <c r="K20" t="s">
        <v>645</v>
      </c>
      <c r="L20" t="s">
        <v>646</v>
      </c>
      <c r="M20" t="s">
        <v>647</v>
      </c>
    </row>
    <row r="21" spans="2:13">
      <c r="G21" s="5"/>
      <c r="H21" s="5"/>
      <c r="I21" s="5"/>
      <c r="J21" s="5"/>
    </row>
    <row r="22" spans="2:13">
      <c r="G22" s="5"/>
      <c r="H22" s="5"/>
      <c r="I22" s="5"/>
      <c r="J22" s="5"/>
    </row>
    <row r="23" spans="2:13">
      <c r="G23" s="5"/>
      <c r="H23" s="5"/>
      <c r="I23" s="5"/>
      <c r="J23" s="5"/>
    </row>
    <row r="24" spans="2:13">
      <c r="G24" s="5"/>
      <c r="H24" s="5"/>
      <c r="I24" s="5"/>
      <c r="J24" s="5"/>
    </row>
    <row r="25" spans="2:13">
      <c r="G25" s="5"/>
      <c r="H25" s="5"/>
      <c r="I25" s="5"/>
      <c r="J25" s="5"/>
    </row>
    <row r="26" spans="2:13">
      <c r="G26" s="5"/>
      <c r="H26" s="5"/>
      <c r="I26" s="5"/>
      <c r="J26" s="5"/>
    </row>
    <row r="27" spans="2:13">
      <c r="G27" s="5"/>
      <c r="H27" s="5"/>
      <c r="I27" s="5"/>
      <c r="J27" s="5"/>
    </row>
    <row r="28" spans="2:13">
      <c r="G28" s="5"/>
      <c r="H28" s="5"/>
      <c r="I28" s="5"/>
      <c r="J28" s="5"/>
    </row>
    <row r="29" spans="2:13">
      <c r="G29" s="5"/>
      <c r="H29" s="5"/>
      <c r="I29" s="5"/>
      <c r="J29" s="5"/>
    </row>
    <row r="30" spans="2:13">
      <c r="G30" s="5"/>
      <c r="H30" s="5"/>
      <c r="I30" s="5"/>
      <c r="J30" s="5"/>
    </row>
    <row r="31" spans="2:13">
      <c r="G31" s="5"/>
      <c r="H31" s="5"/>
      <c r="I31" s="5"/>
      <c r="J31" s="5"/>
    </row>
    <row r="32" spans="2:13">
      <c r="G32" s="5"/>
      <c r="H32" s="5"/>
      <c r="I32" s="5"/>
      <c r="J32" s="5"/>
    </row>
    <row r="33" spans="7:10">
      <c r="G33" s="5"/>
      <c r="H33" s="5"/>
      <c r="I33" s="5"/>
      <c r="J33" s="5"/>
    </row>
    <row r="34" spans="7:10">
      <c r="G34" s="5"/>
      <c r="H34" s="5"/>
      <c r="I34" s="5"/>
      <c r="J34" s="5"/>
    </row>
    <row r="35" spans="7:10">
      <c r="G35" s="5"/>
      <c r="H35" s="5"/>
      <c r="I35" s="5"/>
      <c r="J35" s="5"/>
    </row>
    <row r="36" spans="7:10">
      <c r="G36" s="5"/>
      <c r="H36" s="5"/>
      <c r="I36" s="5"/>
      <c r="J36" s="5"/>
    </row>
    <row r="37" spans="7:10">
      <c r="G37" s="5"/>
      <c r="H37" s="5"/>
      <c r="I37" s="5"/>
      <c r="J37" s="5"/>
    </row>
    <row r="38" spans="7:10">
      <c r="G38" s="5"/>
      <c r="H38" s="5"/>
      <c r="I38" s="5"/>
      <c r="J38" s="5"/>
    </row>
    <row r="39" spans="7:10">
      <c r="G39" s="5"/>
      <c r="H39" s="5"/>
      <c r="I39" s="5"/>
      <c r="J39" s="5"/>
    </row>
    <row r="40" spans="7:10">
      <c r="G40" s="5"/>
      <c r="H40" s="5"/>
      <c r="I40" s="5"/>
      <c r="J40" s="5"/>
    </row>
    <row r="41" spans="7:10">
      <c r="G41" s="5"/>
      <c r="H41" s="5"/>
      <c r="I41" s="5"/>
      <c r="J41" s="5"/>
    </row>
    <row r="42" spans="7:10">
      <c r="G42" s="5"/>
      <c r="H42" s="5"/>
      <c r="I42" s="5"/>
      <c r="J42" s="5"/>
    </row>
    <row r="43" spans="7:10">
      <c r="G43" s="5"/>
      <c r="H43" s="5"/>
      <c r="I43" s="5"/>
      <c r="J43" s="5"/>
    </row>
    <row r="44" spans="7:10">
      <c r="G44" s="5"/>
      <c r="H44" s="5"/>
      <c r="I44" s="5"/>
      <c r="J44" s="5"/>
    </row>
    <row r="45" spans="7:10">
      <c r="G45" s="5"/>
      <c r="H45" s="5"/>
      <c r="I45" s="5"/>
      <c r="J45" s="5"/>
    </row>
    <row r="46" spans="7:10">
      <c r="G46" s="5"/>
      <c r="H46" s="5"/>
      <c r="I46" s="5"/>
      <c r="J46" s="5"/>
    </row>
    <row r="47" spans="7:10">
      <c r="G47" s="5"/>
      <c r="H47" s="5"/>
      <c r="I47" s="5"/>
      <c r="J47" s="5"/>
    </row>
    <row r="48" spans="7:10">
      <c r="G48" s="5"/>
      <c r="H48" s="5"/>
      <c r="I48" s="5"/>
      <c r="J48" s="5"/>
    </row>
    <row r="49" spans="7:10">
      <c r="G49" s="5"/>
      <c r="H49" s="5"/>
      <c r="I49" s="5"/>
      <c r="J49" s="5"/>
    </row>
    <row r="50" spans="7:10">
      <c r="G50" s="5"/>
      <c r="H50" s="5"/>
      <c r="I50" s="5"/>
      <c r="J50" s="5"/>
    </row>
    <row r="51" spans="7:10">
      <c r="G51" s="5"/>
      <c r="H51" s="5"/>
      <c r="I51" s="5"/>
      <c r="J51" s="5"/>
    </row>
    <row r="52" spans="7:10">
      <c r="G52" s="5"/>
      <c r="H52" s="5"/>
      <c r="I52" s="5"/>
      <c r="J52" s="5"/>
    </row>
    <row r="53" spans="7:10">
      <c r="G53" s="5"/>
      <c r="H53" s="5"/>
      <c r="I53" s="5"/>
      <c r="J53" s="5"/>
    </row>
    <row r="54" spans="7:10">
      <c r="G54" s="5"/>
      <c r="H54" s="5"/>
      <c r="I54" s="5"/>
      <c r="J54" s="5"/>
    </row>
    <row r="55" spans="7:10">
      <c r="G55" s="5"/>
      <c r="H55" s="5"/>
      <c r="I55" s="5"/>
      <c r="J55" s="5"/>
    </row>
    <row r="56" spans="7:10">
      <c r="G56" s="5"/>
      <c r="H56" s="5"/>
      <c r="I56" s="5"/>
      <c r="J56" s="5"/>
    </row>
    <row r="57" spans="7:10">
      <c r="G57" s="5"/>
      <c r="H57" s="5"/>
      <c r="I57" s="5"/>
      <c r="J57" s="5"/>
    </row>
    <row r="58" spans="7:10">
      <c r="G58" s="5"/>
      <c r="H58" s="5"/>
      <c r="I58" s="5"/>
      <c r="J58" s="5"/>
    </row>
    <row r="59" spans="7:10">
      <c r="G59" s="5"/>
      <c r="H59" s="5"/>
      <c r="I59" s="5"/>
      <c r="J59" s="5"/>
    </row>
    <row r="60" spans="7:10">
      <c r="G60" s="5"/>
      <c r="H60" s="5"/>
      <c r="I60" s="5"/>
      <c r="J60" s="5"/>
    </row>
    <row r="61" spans="7:10">
      <c r="G61" s="5"/>
      <c r="H61" s="5"/>
      <c r="I61" s="5"/>
      <c r="J61" s="5"/>
    </row>
    <row r="62" spans="7:10">
      <c r="G62" s="5"/>
      <c r="H62" s="5"/>
      <c r="I62" s="5"/>
      <c r="J62" s="5"/>
    </row>
    <row r="63" spans="7:10">
      <c r="G63" s="5"/>
      <c r="H63" s="5"/>
      <c r="I63" s="5"/>
      <c r="J63" s="5"/>
    </row>
    <row r="64" spans="7:10">
      <c r="G64" s="5"/>
      <c r="H64" s="5"/>
      <c r="I64" s="5"/>
      <c r="J64" s="5"/>
    </row>
    <row r="65" spans="7:10">
      <c r="G65" s="5"/>
      <c r="H65" s="5"/>
      <c r="I65" s="5"/>
      <c r="J65" s="5"/>
    </row>
    <row r="66" spans="7:10">
      <c r="G66" s="5"/>
      <c r="H66" s="5"/>
      <c r="I66" s="5"/>
      <c r="J66" s="5"/>
    </row>
    <row r="67" spans="7:10">
      <c r="G67" s="5"/>
      <c r="H67" s="5"/>
      <c r="I67" s="5"/>
      <c r="J67" s="5"/>
    </row>
    <row r="68" spans="7:10">
      <c r="G68" s="5"/>
      <c r="H68" s="5"/>
      <c r="I68" s="5"/>
      <c r="J68" s="5"/>
    </row>
    <row r="69" spans="7:10">
      <c r="G69" s="5"/>
      <c r="H69" s="5"/>
      <c r="I69" s="5"/>
      <c r="J69" s="5"/>
    </row>
    <row r="70" spans="7:10">
      <c r="G70" s="5"/>
      <c r="H70" s="5"/>
      <c r="I70" s="5"/>
      <c r="J70" s="5"/>
    </row>
    <row r="71" spans="7:10">
      <c r="G71" s="5"/>
      <c r="H71" s="5"/>
      <c r="I71" s="5"/>
      <c r="J71" s="5"/>
    </row>
    <row r="72" spans="7:10">
      <c r="G72" s="5"/>
      <c r="H72" s="5"/>
      <c r="I72" s="5"/>
      <c r="J72" s="5"/>
    </row>
    <row r="73" spans="7:10">
      <c r="G73" s="5"/>
      <c r="H73" s="5"/>
      <c r="I73" s="5"/>
      <c r="J73" s="5"/>
    </row>
    <row r="74" spans="7:10">
      <c r="G74" s="5"/>
      <c r="H74" s="5"/>
      <c r="I74" s="5"/>
      <c r="J74" s="5"/>
    </row>
    <row r="75" spans="7:10">
      <c r="G75" s="5"/>
      <c r="H75" s="5"/>
      <c r="I75" s="5"/>
      <c r="J75" s="5"/>
    </row>
    <row r="76" spans="7:10">
      <c r="G76" s="5"/>
      <c r="H76" s="5"/>
      <c r="I76" s="5"/>
      <c r="J76" s="5"/>
    </row>
    <row r="77" spans="7:10">
      <c r="G77" s="5"/>
      <c r="H77" s="5"/>
      <c r="I77" s="5"/>
      <c r="J77" s="5"/>
    </row>
    <row r="78" spans="7:10">
      <c r="G78" s="5"/>
      <c r="H78" s="5"/>
      <c r="I78" s="5"/>
      <c r="J78" s="5"/>
    </row>
    <row r="79" spans="7:10">
      <c r="G79" s="5"/>
      <c r="H79" s="5"/>
      <c r="I79" s="5"/>
      <c r="J79" s="5"/>
    </row>
    <row r="80" spans="7:10">
      <c r="G80" s="5"/>
      <c r="H80" s="5"/>
      <c r="I80" s="5"/>
      <c r="J80" s="5"/>
    </row>
    <row r="81" spans="7:10">
      <c r="G81" s="5"/>
      <c r="H81" s="5"/>
      <c r="I81" s="5"/>
      <c r="J81" s="5"/>
    </row>
    <row r="82" spans="7:10">
      <c r="G82" s="5"/>
      <c r="H82" s="5"/>
      <c r="I82" s="5"/>
      <c r="J82" s="5"/>
    </row>
    <row r="83" spans="7:10">
      <c r="G83" s="5"/>
      <c r="H83" s="5"/>
      <c r="I83" s="5"/>
      <c r="J83" s="5"/>
    </row>
    <row r="84" spans="7:10">
      <c r="G84" s="5"/>
      <c r="H84" s="5"/>
      <c r="I84" s="5"/>
      <c r="J84" s="5"/>
    </row>
    <row r="85" spans="7:10">
      <c r="G85" s="5"/>
      <c r="H85" s="5"/>
      <c r="I85" s="5"/>
      <c r="J85" s="5"/>
    </row>
    <row r="86" spans="7:10">
      <c r="G86" s="5"/>
      <c r="H86" s="5"/>
      <c r="I86" s="5"/>
      <c r="J86" s="5"/>
    </row>
    <row r="87" spans="7:10">
      <c r="G87" s="5"/>
      <c r="H87" s="5"/>
      <c r="I87" s="5"/>
      <c r="J87" s="5"/>
    </row>
    <row r="88" spans="7:10">
      <c r="G88" s="5"/>
      <c r="H88" s="5"/>
      <c r="I88" s="5"/>
      <c r="J88" s="5"/>
    </row>
    <row r="89" spans="7:10">
      <c r="G89" s="5"/>
      <c r="H89" s="5"/>
      <c r="I89" s="5"/>
      <c r="J89" s="5"/>
    </row>
    <row r="90" spans="7:10">
      <c r="G90" s="5"/>
      <c r="H90" s="5"/>
      <c r="I90" s="5"/>
      <c r="J90" s="5"/>
    </row>
    <row r="91" spans="7:10">
      <c r="G91" s="5"/>
      <c r="H91" s="5"/>
      <c r="I91" s="5"/>
      <c r="J91" s="5"/>
    </row>
    <row r="92" spans="7:10">
      <c r="G92" s="5"/>
      <c r="H92" s="5"/>
      <c r="I92" s="5"/>
      <c r="J92" s="5"/>
    </row>
    <row r="93" spans="7:10">
      <c r="G93" s="5"/>
      <c r="H93" s="5"/>
      <c r="I93" s="5"/>
      <c r="J93" s="5"/>
    </row>
    <row r="94" spans="7:10">
      <c r="G94" s="5"/>
      <c r="H94" s="5"/>
      <c r="I94" s="5"/>
      <c r="J94" s="5"/>
    </row>
    <row r="95" spans="7:10">
      <c r="G95" s="5"/>
      <c r="H95" s="5"/>
      <c r="I95" s="5"/>
      <c r="J95" s="5"/>
    </row>
    <row r="96" spans="7:10">
      <c r="G96" s="5"/>
      <c r="H96" s="5"/>
      <c r="I96" s="5"/>
      <c r="J96" s="5"/>
    </row>
    <row r="97" spans="7:10">
      <c r="G97" s="5"/>
      <c r="H97" s="5"/>
      <c r="I97" s="5"/>
      <c r="J97" s="5"/>
    </row>
    <row r="98" spans="7:10">
      <c r="G98" s="5"/>
      <c r="H98" s="5"/>
      <c r="I98" s="5"/>
      <c r="J98" s="5"/>
    </row>
    <row r="99" spans="7:10">
      <c r="G99" s="5"/>
      <c r="H99" s="5"/>
      <c r="I99" s="5"/>
      <c r="J99" s="5"/>
    </row>
    <row r="100" spans="7:10">
      <c r="G100" s="5"/>
      <c r="H100" s="5"/>
      <c r="I100" s="5"/>
      <c r="J100" s="5"/>
    </row>
    <row r="101" spans="7:10">
      <c r="G101" s="5"/>
      <c r="H101" s="5"/>
      <c r="I101" s="5"/>
      <c r="J101" s="5"/>
    </row>
  </sheetData>
  <conditionalFormatting sqref="K3:K101">
    <cfRule type="expression" dxfId="6" priority="1">
      <formula>K3="Stockout Risk"</formula>
    </cfRule>
    <cfRule type="expression" dxfId="5" priority="2">
      <formula>K3="Excess Stock"</formula>
    </cfRule>
    <cfRule type="expression" dxfId="4" priority="3">
      <formula>K3="Data Quality"</formula>
    </cfRule>
    <cfRule type="expression" dxfId="3" priority="4">
      <formula>K3="Past Due PO"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"/>
  <sheetViews>
    <sheetView topLeftCell="C1" workbookViewId="0"/>
  </sheetViews>
  <sheetFormatPr baseColWidth="10" defaultColWidth="8.83203125" defaultRowHeight="15"/>
  <cols>
    <col min="1" max="2" width="16" customWidth="1"/>
    <col min="3" max="3" width="28" customWidth="1"/>
    <col min="4" max="14" width="16" customWidth="1"/>
    <col min="15" max="15" width="34" customWidth="1"/>
  </cols>
  <sheetData>
    <row r="1" spans="1:15" ht="32" customHeight="1">
      <c r="A1" s="2" t="s">
        <v>648</v>
      </c>
      <c r="B1" s="2" t="s">
        <v>30</v>
      </c>
      <c r="C1" s="2" t="s">
        <v>59</v>
      </c>
      <c r="D1" s="2" t="s">
        <v>649</v>
      </c>
      <c r="E1" s="2" t="s">
        <v>547</v>
      </c>
      <c r="F1" s="2" t="s">
        <v>650</v>
      </c>
      <c r="G1" s="2" t="s">
        <v>594</v>
      </c>
      <c r="H1" s="2" t="s">
        <v>651</v>
      </c>
      <c r="I1" s="2" t="s">
        <v>553</v>
      </c>
      <c r="J1" s="2" t="s">
        <v>613</v>
      </c>
      <c r="K1" s="2" t="s">
        <v>614</v>
      </c>
      <c r="L1" s="2" t="s">
        <v>652</v>
      </c>
      <c r="M1" s="2" t="s">
        <v>653</v>
      </c>
      <c r="N1" s="2" t="s">
        <v>32</v>
      </c>
      <c r="O1" s="2" t="s">
        <v>654</v>
      </c>
    </row>
    <row r="2" spans="1:15">
      <c r="A2" t="s">
        <v>655</v>
      </c>
      <c r="B2" t="s">
        <v>45</v>
      </c>
      <c r="C2" t="s">
        <v>66</v>
      </c>
      <c r="D2" t="s">
        <v>559</v>
      </c>
      <c r="E2" t="s">
        <v>560</v>
      </c>
      <c r="F2" t="s">
        <v>54</v>
      </c>
      <c r="G2" t="s">
        <v>601</v>
      </c>
      <c r="H2" s="5">
        <v>143.5</v>
      </c>
      <c r="I2" s="5">
        <v>63</v>
      </c>
      <c r="J2" s="5">
        <v>184.92184184260429</v>
      </c>
      <c r="K2" s="5">
        <v>0.43902439024390238</v>
      </c>
      <c r="L2" s="5">
        <v>266</v>
      </c>
      <c r="M2" s="7">
        <v>4921</v>
      </c>
      <c r="N2" t="s">
        <v>41</v>
      </c>
      <c r="O2" t="s">
        <v>625</v>
      </c>
    </row>
    <row r="3" spans="1:15">
      <c r="A3" t="s">
        <v>655</v>
      </c>
      <c r="B3" t="s">
        <v>47</v>
      </c>
      <c r="C3" t="s">
        <v>90</v>
      </c>
      <c r="D3" t="s">
        <v>559</v>
      </c>
      <c r="E3" t="s">
        <v>560</v>
      </c>
      <c r="F3" t="s">
        <v>54</v>
      </c>
      <c r="G3" t="s">
        <v>603</v>
      </c>
      <c r="H3" s="5">
        <v>106</v>
      </c>
      <c r="I3" s="5">
        <v>96</v>
      </c>
      <c r="J3" s="5">
        <v>176.72142316879379</v>
      </c>
      <c r="K3" s="5">
        <v>0.90566037735849059</v>
      </c>
      <c r="L3" s="5">
        <v>187</v>
      </c>
      <c r="M3" s="7">
        <v>4488</v>
      </c>
      <c r="N3" t="s">
        <v>41</v>
      </c>
      <c r="O3" t="s">
        <v>625</v>
      </c>
    </row>
    <row r="4" spans="1:15">
      <c r="A4" t="s">
        <v>655</v>
      </c>
      <c r="B4" t="s">
        <v>128</v>
      </c>
      <c r="C4" t="s">
        <v>129</v>
      </c>
      <c r="D4" t="s">
        <v>564</v>
      </c>
      <c r="E4" t="s">
        <v>560</v>
      </c>
      <c r="F4" t="s">
        <v>57</v>
      </c>
      <c r="G4" t="s">
        <v>605</v>
      </c>
      <c r="H4" s="5">
        <v>0</v>
      </c>
      <c r="I4" s="5">
        <v>12</v>
      </c>
      <c r="J4" s="5">
        <v>28.008056876548931</v>
      </c>
      <c r="K4" s="5">
        <v>999</v>
      </c>
      <c r="L4" s="5">
        <v>20</v>
      </c>
      <c r="M4" s="7">
        <v>1100</v>
      </c>
      <c r="N4" t="s">
        <v>41</v>
      </c>
      <c r="O4" t="s">
        <v>625</v>
      </c>
    </row>
    <row r="5" spans="1:15">
      <c r="A5" t="s">
        <v>655</v>
      </c>
      <c r="B5" t="s">
        <v>148</v>
      </c>
      <c r="C5" t="s">
        <v>149</v>
      </c>
      <c r="D5" t="s">
        <v>564</v>
      </c>
      <c r="E5" t="s">
        <v>566</v>
      </c>
      <c r="F5" t="s">
        <v>54</v>
      </c>
      <c r="G5" t="s">
        <v>607</v>
      </c>
      <c r="H5" s="5">
        <v>11.83333333333333</v>
      </c>
      <c r="I5" s="5">
        <v>38</v>
      </c>
      <c r="J5" s="5">
        <v>40.526493178229593</v>
      </c>
      <c r="K5" s="5">
        <v>3.211267605633803</v>
      </c>
      <c r="L5" s="5">
        <v>15</v>
      </c>
      <c r="M5" s="7">
        <v>1875</v>
      </c>
      <c r="N5" t="s">
        <v>41</v>
      </c>
      <c r="O5" t="s">
        <v>625</v>
      </c>
    </row>
    <row r="6" spans="1:15">
      <c r="A6" t="s">
        <v>655</v>
      </c>
      <c r="B6" t="s">
        <v>49</v>
      </c>
      <c r="C6" t="s">
        <v>188</v>
      </c>
      <c r="D6" t="s">
        <v>559</v>
      </c>
      <c r="E6" t="s">
        <v>560</v>
      </c>
      <c r="F6" t="s">
        <v>54</v>
      </c>
      <c r="G6" t="s">
        <v>603</v>
      </c>
      <c r="H6" s="5">
        <v>99</v>
      </c>
      <c r="I6" s="5">
        <v>107</v>
      </c>
      <c r="J6" s="5">
        <v>128.58351583200451</v>
      </c>
      <c r="K6" s="5">
        <v>1.0808080808080811</v>
      </c>
      <c r="L6" s="5">
        <v>121</v>
      </c>
      <c r="M6" s="7">
        <v>5082</v>
      </c>
      <c r="N6" t="s">
        <v>41</v>
      </c>
      <c r="O6" t="s">
        <v>625</v>
      </c>
    </row>
    <row r="7" spans="1:15">
      <c r="A7" t="s">
        <v>655</v>
      </c>
      <c r="B7" t="s">
        <v>246</v>
      </c>
      <c r="C7" t="s">
        <v>247</v>
      </c>
      <c r="D7" t="s">
        <v>572</v>
      </c>
      <c r="E7" t="s">
        <v>560</v>
      </c>
      <c r="F7" t="s">
        <v>57</v>
      </c>
      <c r="G7" t="s">
        <v>605</v>
      </c>
      <c r="H7" s="5">
        <v>0</v>
      </c>
      <c r="I7" s="5">
        <v>77</v>
      </c>
      <c r="J7" s="5">
        <v>87.682160386249606</v>
      </c>
      <c r="K7" s="5">
        <v>999</v>
      </c>
      <c r="L7" s="5">
        <v>75</v>
      </c>
      <c r="M7" s="7">
        <v>637.5</v>
      </c>
      <c r="N7" t="s">
        <v>41</v>
      </c>
      <c r="O7" t="s">
        <v>625</v>
      </c>
    </row>
    <row r="8" spans="1:15">
      <c r="A8" t="s">
        <v>655</v>
      </c>
      <c r="B8" t="s">
        <v>266</v>
      </c>
      <c r="C8" t="s">
        <v>267</v>
      </c>
      <c r="D8" t="s">
        <v>568</v>
      </c>
      <c r="E8" t="s">
        <v>560</v>
      </c>
      <c r="F8" t="s">
        <v>54</v>
      </c>
      <c r="G8" t="s">
        <v>609</v>
      </c>
      <c r="H8" s="5">
        <v>29.5</v>
      </c>
      <c r="I8" s="5">
        <v>106</v>
      </c>
      <c r="J8" s="5">
        <v>129.7869184648346</v>
      </c>
      <c r="K8" s="5">
        <v>3.593220338983051</v>
      </c>
      <c r="L8" s="5">
        <v>54</v>
      </c>
      <c r="M8" s="7">
        <v>1728</v>
      </c>
      <c r="N8" t="s">
        <v>41</v>
      </c>
      <c r="O8" t="s">
        <v>625</v>
      </c>
    </row>
    <row r="9" spans="1:15">
      <c r="A9" t="s">
        <v>655</v>
      </c>
      <c r="B9" t="s">
        <v>306</v>
      </c>
      <c r="C9" t="s">
        <v>307</v>
      </c>
      <c r="D9" t="s">
        <v>574</v>
      </c>
      <c r="E9" t="s">
        <v>566</v>
      </c>
      <c r="F9" t="s">
        <v>54</v>
      </c>
      <c r="G9" t="s">
        <v>603</v>
      </c>
      <c r="H9" s="5">
        <v>9.3333333333333339</v>
      </c>
      <c r="I9" s="5">
        <v>18</v>
      </c>
      <c r="J9" s="5">
        <v>30.517021166080909</v>
      </c>
      <c r="K9" s="5">
        <v>1.9285714285714279</v>
      </c>
      <c r="L9" s="5">
        <v>22</v>
      </c>
      <c r="M9" s="7">
        <v>4620</v>
      </c>
      <c r="N9" t="s">
        <v>41</v>
      </c>
      <c r="O9" t="s">
        <v>625</v>
      </c>
    </row>
    <row r="10" spans="1:15">
      <c r="A10" t="s">
        <v>655</v>
      </c>
      <c r="B10" t="s">
        <v>53</v>
      </c>
      <c r="C10" t="s">
        <v>326</v>
      </c>
      <c r="D10" t="s">
        <v>574</v>
      </c>
      <c r="E10" t="s">
        <v>560</v>
      </c>
      <c r="F10" t="s">
        <v>56</v>
      </c>
      <c r="G10" t="s">
        <v>601</v>
      </c>
      <c r="H10" s="5">
        <v>53.833333333333343</v>
      </c>
      <c r="I10" s="5">
        <v>41</v>
      </c>
      <c r="J10" s="5">
        <v>84.399702621369471</v>
      </c>
      <c r="K10" s="5">
        <v>0.76160990712074295</v>
      </c>
      <c r="L10" s="5">
        <v>98</v>
      </c>
      <c r="M10" s="7">
        <v>1372</v>
      </c>
      <c r="N10" t="s">
        <v>41</v>
      </c>
      <c r="O10" t="s">
        <v>625</v>
      </c>
    </row>
    <row r="11" spans="1:15">
      <c r="A11" t="s">
        <v>655</v>
      </c>
      <c r="B11" t="s">
        <v>365</v>
      </c>
      <c r="C11" t="s">
        <v>366</v>
      </c>
      <c r="D11" t="s">
        <v>574</v>
      </c>
      <c r="E11" t="s">
        <v>560</v>
      </c>
      <c r="F11" t="s">
        <v>56</v>
      </c>
      <c r="G11" t="s">
        <v>605</v>
      </c>
      <c r="H11" s="5">
        <v>21.5</v>
      </c>
      <c r="I11" s="5">
        <v>46</v>
      </c>
      <c r="J11" s="5">
        <v>59.160997556641369</v>
      </c>
      <c r="K11" s="5">
        <v>2.13953488372093</v>
      </c>
      <c r="L11" s="5">
        <v>35</v>
      </c>
      <c r="M11" s="7">
        <v>1610</v>
      </c>
      <c r="N11" t="s">
        <v>41</v>
      </c>
      <c r="O11" t="s">
        <v>625</v>
      </c>
    </row>
    <row r="12" spans="1:15">
      <c r="A12" t="s">
        <v>655</v>
      </c>
      <c r="B12" t="s">
        <v>385</v>
      </c>
      <c r="C12" t="s">
        <v>386</v>
      </c>
      <c r="D12" t="s">
        <v>574</v>
      </c>
      <c r="E12" t="s">
        <v>566</v>
      </c>
      <c r="F12" t="s">
        <v>56</v>
      </c>
      <c r="G12" t="s">
        <v>607</v>
      </c>
      <c r="H12" s="5">
        <v>10.5</v>
      </c>
      <c r="I12" s="5">
        <v>29</v>
      </c>
      <c r="J12" s="5">
        <v>41.346681491599512</v>
      </c>
      <c r="K12" s="5">
        <v>2.7619047619047619</v>
      </c>
      <c r="L12" s="5">
        <v>23</v>
      </c>
      <c r="M12" s="7">
        <v>2185</v>
      </c>
      <c r="N12" t="s">
        <v>41</v>
      </c>
      <c r="O12" t="s">
        <v>625</v>
      </c>
    </row>
    <row r="13" spans="1:15">
      <c r="A13" t="s">
        <v>655</v>
      </c>
      <c r="B13" t="s">
        <v>443</v>
      </c>
      <c r="C13" t="s">
        <v>444</v>
      </c>
      <c r="D13" t="s">
        <v>570</v>
      </c>
      <c r="E13" t="s">
        <v>560</v>
      </c>
      <c r="F13" t="s">
        <v>54</v>
      </c>
      <c r="G13" t="s">
        <v>601</v>
      </c>
      <c r="H13" s="5">
        <v>44.5</v>
      </c>
      <c r="I13" s="5">
        <v>20</v>
      </c>
      <c r="J13" s="5">
        <v>59.125384610327337</v>
      </c>
      <c r="K13" s="5">
        <v>0.449438202247191</v>
      </c>
      <c r="L13" s="5">
        <v>84</v>
      </c>
      <c r="M13" s="7">
        <v>2436</v>
      </c>
      <c r="N13" t="s">
        <v>41</v>
      </c>
      <c r="O13" t="s">
        <v>625</v>
      </c>
    </row>
    <row r="14" spans="1:15">
      <c r="A14" t="s">
        <v>655</v>
      </c>
      <c r="B14" t="s">
        <v>463</v>
      </c>
      <c r="C14" t="s">
        <v>464</v>
      </c>
      <c r="D14" t="s">
        <v>574</v>
      </c>
      <c r="E14" t="s">
        <v>560</v>
      </c>
      <c r="F14" t="s">
        <v>54</v>
      </c>
      <c r="G14" t="s">
        <v>601</v>
      </c>
      <c r="H14" s="5">
        <v>14.5</v>
      </c>
      <c r="I14" s="5">
        <v>20</v>
      </c>
      <c r="J14" s="5">
        <v>36.067796686379708</v>
      </c>
      <c r="K14" s="5">
        <v>1.3793103448275861</v>
      </c>
      <c r="L14" s="5">
        <v>31</v>
      </c>
      <c r="M14" s="7">
        <v>4340</v>
      </c>
      <c r="N14" t="s">
        <v>41</v>
      </c>
      <c r="O14" t="s">
        <v>625</v>
      </c>
    </row>
    <row r="15" spans="1:15">
      <c r="A15" t="s">
        <v>655</v>
      </c>
      <c r="B15" t="s">
        <v>483</v>
      </c>
      <c r="C15" t="s">
        <v>484</v>
      </c>
      <c r="D15" t="s">
        <v>574</v>
      </c>
      <c r="E15" t="s">
        <v>566</v>
      </c>
      <c r="F15" t="s">
        <v>57</v>
      </c>
      <c r="G15" t="s">
        <v>605</v>
      </c>
      <c r="H15" s="5">
        <v>2</v>
      </c>
      <c r="I15" s="5">
        <v>6</v>
      </c>
      <c r="J15" s="5">
        <v>10.44977063737548</v>
      </c>
      <c r="K15" s="5">
        <v>3</v>
      </c>
      <c r="L15" s="5">
        <v>7</v>
      </c>
      <c r="M15" s="7">
        <v>2170</v>
      </c>
      <c r="N15" t="s">
        <v>41</v>
      </c>
      <c r="O15" t="s">
        <v>625</v>
      </c>
    </row>
    <row r="16" spans="1:15">
      <c r="A16" t="s">
        <v>655</v>
      </c>
      <c r="B16" t="s">
        <v>503</v>
      </c>
      <c r="C16" t="s">
        <v>504</v>
      </c>
      <c r="D16" t="s">
        <v>574</v>
      </c>
      <c r="E16" t="s">
        <v>560</v>
      </c>
      <c r="F16" t="s">
        <v>54</v>
      </c>
      <c r="G16" t="s">
        <v>609</v>
      </c>
      <c r="H16" s="5">
        <v>14</v>
      </c>
      <c r="I16" s="5">
        <v>39</v>
      </c>
      <c r="J16" s="5">
        <v>56.782244891956218</v>
      </c>
      <c r="K16" s="5">
        <v>2.785714285714286</v>
      </c>
      <c r="L16" s="5">
        <v>32</v>
      </c>
      <c r="M16" s="7">
        <v>5120</v>
      </c>
      <c r="N16" t="s">
        <v>41</v>
      </c>
      <c r="O16" t="s">
        <v>625</v>
      </c>
    </row>
    <row r="17" spans="1:15">
      <c r="A17" t="s">
        <v>656</v>
      </c>
      <c r="B17" t="s">
        <v>37</v>
      </c>
      <c r="C17" t="s">
        <v>405</v>
      </c>
      <c r="D17" t="s">
        <v>580</v>
      </c>
      <c r="E17" t="s">
        <v>560</v>
      </c>
      <c r="F17" t="s">
        <v>54</v>
      </c>
      <c r="G17" t="s">
        <v>601</v>
      </c>
      <c r="H17" s="5">
        <v>478.66666666666669</v>
      </c>
      <c r="I17" s="5">
        <v>3412</v>
      </c>
      <c r="J17" s="5">
        <v>406.36376599033781</v>
      </c>
      <c r="K17" s="5">
        <v>7.1281337047353759</v>
      </c>
      <c r="L17" s="5">
        <v>0</v>
      </c>
      <c r="M17" s="7">
        <v>0</v>
      </c>
      <c r="N17" t="s">
        <v>38</v>
      </c>
      <c r="O17" t="s">
        <v>637</v>
      </c>
    </row>
    <row r="18" spans="1:15">
      <c r="A18" t="s">
        <v>657</v>
      </c>
      <c r="B18" t="s">
        <v>48</v>
      </c>
      <c r="C18" t="s">
        <v>109</v>
      </c>
      <c r="D18" t="s">
        <v>559</v>
      </c>
      <c r="E18" t="s">
        <v>560</v>
      </c>
      <c r="F18" t="s">
        <v>54</v>
      </c>
      <c r="G18" t="s">
        <v>601</v>
      </c>
      <c r="H18" s="5">
        <v>105.3333333333333</v>
      </c>
      <c r="I18" s="5">
        <v>318</v>
      </c>
      <c r="J18" s="5">
        <v>126.019741914815</v>
      </c>
      <c r="K18" s="5">
        <v>3.018987341772152</v>
      </c>
      <c r="L18" s="5">
        <v>0</v>
      </c>
      <c r="M18" s="7">
        <v>0</v>
      </c>
      <c r="N18" t="s">
        <v>35</v>
      </c>
      <c r="O18" t="s">
        <v>658</v>
      </c>
    </row>
    <row r="19" spans="1:15">
      <c r="A19" t="s">
        <v>657</v>
      </c>
      <c r="B19" t="s">
        <v>168</v>
      </c>
      <c r="C19" t="s">
        <v>169</v>
      </c>
      <c r="D19" t="s">
        <v>568</v>
      </c>
      <c r="E19" t="s">
        <v>560</v>
      </c>
      <c r="F19" t="s">
        <v>54</v>
      </c>
      <c r="G19" t="s">
        <v>608</v>
      </c>
      <c r="H19" s="5">
        <v>37.333333333333343</v>
      </c>
      <c r="I19" s="5">
        <v>182</v>
      </c>
      <c r="J19" s="5">
        <v>38.412210012411101</v>
      </c>
      <c r="K19" s="5">
        <v>4.875</v>
      </c>
      <c r="L19" s="5">
        <v>0</v>
      </c>
      <c r="M19" s="7">
        <v>0</v>
      </c>
      <c r="N19" t="s">
        <v>35</v>
      </c>
      <c r="O19" t="s">
        <v>658</v>
      </c>
    </row>
    <row r="20" spans="1:15">
      <c r="A20" t="s">
        <v>657</v>
      </c>
      <c r="B20" t="s">
        <v>207</v>
      </c>
      <c r="C20" t="s">
        <v>208</v>
      </c>
      <c r="D20" t="s">
        <v>559</v>
      </c>
      <c r="E20" t="s">
        <v>560</v>
      </c>
      <c r="F20" t="s">
        <v>54</v>
      </c>
      <c r="G20" t="s">
        <v>607</v>
      </c>
      <c r="H20" s="5">
        <v>44</v>
      </c>
      <c r="I20" s="5">
        <v>132</v>
      </c>
      <c r="J20" s="5">
        <v>80.290322694267545</v>
      </c>
      <c r="K20" s="5">
        <v>3</v>
      </c>
      <c r="L20" s="5">
        <v>0</v>
      </c>
      <c r="M20" s="7">
        <v>0</v>
      </c>
      <c r="N20" t="s">
        <v>35</v>
      </c>
      <c r="O20" t="s">
        <v>658</v>
      </c>
    </row>
    <row r="21" spans="1:15">
      <c r="A21" t="s">
        <v>657</v>
      </c>
      <c r="B21" t="s">
        <v>40</v>
      </c>
      <c r="C21" t="s">
        <v>227</v>
      </c>
      <c r="D21" t="s">
        <v>570</v>
      </c>
      <c r="E21" t="s">
        <v>560</v>
      </c>
      <c r="F21" t="s">
        <v>56</v>
      </c>
      <c r="G21" t="s">
        <v>601</v>
      </c>
      <c r="H21" s="5">
        <v>252.66666666666671</v>
      </c>
      <c r="I21" s="5">
        <v>712</v>
      </c>
      <c r="J21" s="5">
        <v>167.60716729266341</v>
      </c>
      <c r="K21" s="5">
        <v>2.817941952506597</v>
      </c>
      <c r="L21" s="5">
        <v>0</v>
      </c>
      <c r="M21" s="7">
        <v>0</v>
      </c>
      <c r="N21" t="s">
        <v>35</v>
      </c>
      <c r="O21" t="s">
        <v>658</v>
      </c>
    </row>
    <row r="22" spans="1:15">
      <c r="A22" t="s">
        <v>657</v>
      </c>
      <c r="B22" t="s">
        <v>286</v>
      </c>
      <c r="C22" t="s">
        <v>287</v>
      </c>
      <c r="D22" t="s">
        <v>574</v>
      </c>
      <c r="E22" t="s">
        <v>560</v>
      </c>
      <c r="F22" t="s">
        <v>54</v>
      </c>
      <c r="G22" t="s">
        <v>601</v>
      </c>
      <c r="H22" s="5">
        <v>13.66666666666667</v>
      </c>
      <c r="I22" s="5">
        <v>50</v>
      </c>
      <c r="J22" s="5">
        <v>31.998965200679478</v>
      </c>
      <c r="K22" s="5">
        <v>3.6585365853658538</v>
      </c>
      <c r="L22" s="5">
        <v>0</v>
      </c>
      <c r="M22" s="7">
        <v>0</v>
      </c>
      <c r="N22" t="s">
        <v>35</v>
      </c>
      <c r="O22" t="s">
        <v>658</v>
      </c>
    </row>
    <row r="23" spans="1:15">
      <c r="A23" t="s">
        <v>657</v>
      </c>
      <c r="B23" t="s">
        <v>55</v>
      </c>
      <c r="C23" t="s">
        <v>346</v>
      </c>
      <c r="D23" t="s">
        <v>574</v>
      </c>
      <c r="E23" t="s">
        <v>560</v>
      </c>
      <c r="F23" t="s">
        <v>56</v>
      </c>
      <c r="G23" t="s">
        <v>601</v>
      </c>
      <c r="H23" s="5">
        <v>48.166666666666657</v>
      </c>
      <c r="I23" s="5">
        <v>76</v>
      </c>
      <c r="J23" s="5">
        <v>74.366779187124024</v>
      </c>
      <c r="K23" s="5">
        <v>1.577854671280277</v>
      </c>
      <c r="L23" s="5">
        <v>0</v>
      </c>
      <c r="M23" s="7">
        <v>0</v>
      </c>
      <c r="N23" t="s">
        <v>35</v>
      </c>
      <c r="O23" t="s">
        <v>658</v>
      </c>
    </row>
    <row r="24" spans="1:15">
      <c r="A24" t="s">
        <v>657</v>
      </c>
      <c r="B24" t="s">
        <v>34</v>
      </c>
      <c r="C24" t="s">
        <v>424</v>
      </c>
      <c r="D24" t="s">
        <v>580</v>
      </c>
      <c r="E24" t="s">
        <v>560</v>
      </c>
      <c r="F24" t="s">
        <v>56</v>
      </c>
      <c r="G24" t="s">
        <v>601</v>
      </c>
      <c r="H24" s="5">
        <v>645.5</v>
      </c>
      <c r="I24" s="5">
        <v>1339</v>
      </c>
      <c r="J24" s="5">
        <v>565.71930949311502</v>
      </c>
      <c r="K24" s="5">
        <v>2.0743609604957398</v>
      </c>
      <c r="L24" s="5">
        <v>0</v>
      </c>
      <c r="M24" s="7">
        <v>0</v>
      </c>
      <c r="N24" t="s">
        <v>35</v>
      </c>
      <c r="O24" t="s">
        <v>658</v>
      </c>
    </row>
    <row r="25" spans="1:15">
      <c r="A25" t="s">
        <v>657</v>
      </c>
      <c r="B25" t="s">
        <v>43</v>
      </c>
      <c r="C25" t="s">
        <v>523</v>
      </c>
      <c r="D25" t="s">
        <v>572</v>
      </c>
      <c r="E25" t="s">
        <v>560</v>
      </c>
      <c r="F25" t="s">
        <v>56</v>
      </c>
      <c r="G25" t="s">
        <v>601</v>
      </c>
      <c r="H25" s="5">
        <v>180</v>
      </c>
      <c r="I25" s="5">
        <v>582</v>
      </c>
      <c r="J25" s="5">
        <v>141.65905958784001</v>
      </c>
      <c r="K25" s="5">
        <v>3.2333333333333329</v>
      </c>
      <c r="L25" s="5">
        <v>0</v>
      </c>
      <c r="M25" s="7">
        <v>0</v>
      </c>
      <c r="N25" t="s">
        <v>35</v>
      </c>
      <c r="O25" t="s">
        <v>658</v>
      </c>
    </row>
    <row r="26" spans="1:15">
      <c r="H26" s="5"/>
      <c r="I26" s="5"/>
      <c r="J26" s="5"/>
      <c r="K26" s="5"/>
      <c r="L26" s="5"/>
      <c r="M26" s="7"/>
    </row>
    <row r="27" spans="1:15">
      <c r="H27" s="5"/>
      <c r="I27" s="5"/>
      <c r="J27" s="5"/>
      <c r="K27" s="5"/>
      <c r="L27" s="5"/>
      <c r="M27" s="7"/>
    </row>
    <row r="28" spans="1:15">
      <c r="H28" s="5"/>
      <c r="I28" s="5"/>
      <c r="J28" s="5"/>
      <c r="K28" s="5"/>
      <c r="L28" s="5"/>
      <c r="M28" s="7"/>
    </row>
    <row r="29" spans="1:15">
      <c r="H29" s="5"/>
      <c r="I29" s="5"/>
      <c r="J29" s="5"/>
      <c r="K29" s="5"/>
      <c r="L29" s="5"/>
      <c r="M29" s="7"/>
    </row>
    <row r="30" spans="1:15">
      <c r="H30" s="5"/>
      <c r="I30" s="5"/>
      <c r="J30" s="5"/>
      <c r="K30" s="5"/>
      <c r="L30" s="5"/>
      <c r="M30" s="7"/>
    </row>
    <row r="31" spans="1:15">
      <c r="H31" s="5"/>
      <c r="I31" s="5"/>
      <c r="J31" s="5"/>
      <c r="K31" s="5"/>
      <c r="L31" s="5"/>
      <c r="M31" s="7"/>
    </row>
    <row r="32" spans="1:15">
      <c r="H32" s="5"/>
      <c r="I32" s="5"/>
      <c r="J32" s="5"/>
      <c r="K32" s="5"/>
      <c r="L32" s="5"/>
      <c r="M32" s="7"/>
    </row>
    <row r="33" spans="8:13">
      <c r="H33" s="5"/>
      <c r="I33" s="5"/>
      <c r="J33" s="5"/>
      <c r="K33" s="5"/>
      <c r="L33" s="5"/>
      <c r="M33" s="7"/>
    </row>
    <row r="34" spans="8:13">
      <c r="H34" s="5"/>
      <c r="I34" s="5"/>
      <c r="J34" s="5"/>
      <c r="K34" s="5"/>
      <c r="L34" s="5"/>
      <c r="M34" s="7"/>
    </row>
    <row r="35" spans="8:13">
      <c r="H35" s="5"/>
      <c r="I35" s="5"/>
      <c r="J35" s="5"/>
      <c r="K35" s="5"/>
      <c r="L35" s="5"/>
      <c r="M35" s="7"/>
    </row>
    <row r="36" spans="8:13">
      <c r="H36" s="5"/>
      <c r="I36" s="5"/>
      <c r="J36" s="5"/>
      <c r="K36" s="5"/>
      <c r="L36" s="5"/>
      <c r="M36" s="7"/>
    </row>
    <row r="37" spans="8:13">
      <c r="H37" s="5"/>
      <c r="I37" s="5"/>
      <c r="J37" s="5"/>
      <c r="K37" s="5"/>
      <c r="L37" s="5"/>
      <c r="M37" s="7"/>
    </row>
    <row r="38" spans="8:13">
      <c r="H38" s="5"/>
      <c r="I38" s="5"/>
      <c r="J38" s="5"/>
      <c r="K38" s="5"/>
      <c r="L38" s="5"/>
      <c r="M38" s="7"/>
    </row>
    <row r="39" spans="8:13">
      <c r="H39" s="5"/>
      <c r="I39" s="5"/>
      <c r="J39" s="5"/>
      <c r="K39" s="5"/>
      <c r="L39" s="5"/>
      <c r="M39" s="7"/>
    </row>
    <row r="40" spans="8:13">
      <c r="H40" s="5"/>
      <c r="I40" s="5"/>
      <c r="J40" s="5"/>
      <c r="K40" s="5"/>
      <c r="L40" s="5"/>
      <c r="M40" s="7"/>
    </row>
    <row r="41" spans="8:13">
      <c r="H41" s="5"/>
      <c r="I41" s="5"/>
      <c r="J41" s="5"/>
      <c r="K41" s="5"/>
      <c r="L41" s="5"/>
      <c r="M41" s="7"/>
    </row>
    <row r="42" spans="8:13">
      <c r="H42" s="5"/>
      <c r="I42" s="5"/>
      <c r="J42" s="5"/>
      <c r="K42" s="5"/>
      <c r="L42" s="5"/>
      <c r="M42" s="7"/>
    </row>
    <row r="43" spans="8:13">
      <c r="H43" s="5"/>
      <c r="I43" s="5"/>
      <c r="J43" s="5"/>
      <c r="K43" s="5"/>
      <c r="L43" s="5"/>
      <c r="M43" s="7"/>
    </row>
    <row r="44" spans="8:13">
      <c r="H44" s="5"/>
      <c r="I44" s="5"/>
      <c r="J44" s="5"/>
      <c r="K44" s="5"/>
      <c r="L44" s="5"/>
      <c r="M44" s="7"/>
    </row>
    <row r="45" spans="8:13">
      <c r="H45" s="5"/>
      <c r="I45" s="5"/>
      <c r="J45" s="5"/>
      <c r="K45" s="5"/>
      <c r="L45" s="5"/>
      <c r="M45" s="7"/>
    </row>
    <row r="46" spans="8:13">
      <c r="H46" s="5"/>
      <c r="I46" s="5"/>
      <c r="J46" s="5"/>
      <c r="K46" s="5"/>
      <c r="L46" s="5"/>
      <c r="M46" s="7"/>
    </row>
    <row r="47" spans="8:13">
      <c r="H47" s="5"/>
      <c r="I47" s="5"/>
      <c r="J47" s="5"/>
      <c r="K47" s="5"/>
      <c r="L47" s="5"/>
      <c r="M47" s="7"/>
    </row>
    <row r="48" spans="8:13">
      <c r="H48" s="5"/>
      <c r="I48" s="5"/>
      <c r="J48" s="5"/>
      <c r="K48" s="5"/>
      <c r="L48" s="5"/>
      <c r="M48" s="7"/>
    </row>
    <row r="49" spans="8:13">
      <c r="H49" s="5"/>
      <c r="I49" s="5"/>
      <c r="J49" s="5"/>
      <c r="K49" s="5"/>
      <c r="L49" s="5"/>
      <c r="M49" s="7"/>
    </row>
    <row r="50" spans="8:13">
      <c r="H50" s="5"/>
      <c r="I50" s="5"/>
      <c r="J50" s="5"/>
      <c r="K50" s="5"/>
      <c r="L50" s="5"/>
      <c r="M50" s="7"/>
    </row>
    <row r="51" spans="8:13">
      <c r="H51" s="5"/>
      <c r="I51" s="5"/>
      <c r="J51" s="5"/>
      <c r="K51" s="5"/>
      <c r="L51" s="5"/>
      <c r="M51" s="7"/>
    </row>
    <row r="52" spans="8:13">
      <c r="H52" s="5"/>
      <c r="I52" s="5"/>
      <c r="J52" s="5"/>
      <c r="K52" s="5"/>
      <c r="L52" s="5"/>
      <c r="M52" s="7"/>
    </row>
    <row r="53" spans="8:13">
      <c r="H53" s="5"/>
      <c r="I53" s="5"/>
      <c r="J53" s="5"/>
      <c r="K53" s="5"/>
      <c r="L53" s="5"/>
      <c r="M53" s="7"/>
    </row>
    <row r="54" spans="8:13">
      <c r="H54" s="5"/>
      <c r="I54" s="5"/>
      <c r="J54" s="5"/>
      <c r="K54" s="5"/>
      <c r="L54" s="5"/>
      <c r="M54" s="7"/>
    </row>
    <row r="55" spans="8:13">
      <c r="H55" s="5"/>
      <c r="I55" s="5"/>
      <c r="J55" s="5"/>
      <c r="K55" s="5"/>
      <c r="L55" s="5"/>
      <c r="M55" s="7"/>
    </row>
    <row r="56" spans="8:13">
      <c r="H56" s="5"/>
      <c r="I56" s="5"/>
      <c r="J56" s="5"/>
      <c r="K56" s="5"/>
      <c r="L56" s="5"/>
      <c r="M56" s="7"/>
    </row>
    <row r="57" spans="8:13">
      <c r="H57" s="5"/>
      <c r="I57" s="5"/>
      <c r="J57" s="5"/>
      <c r="K57" s="5"/>
      <c r="L57" s="5"/>
      <c r="M57" s="7"/>
    </row>
    <row r="58" spans="8:13">
      <c r="H58" s="5"/>
      <c r="I58" s="5"/>
      <c r="J58" s="5"/>
      <c r="K58" s="5"/>
      <c r="L58" s="5"/>
      <c r="M58" s="7"/>
    </row>
    <row r="59" spans="8:13">
      <c r="H59" s="5"/>
      <c r="I59" s="5"/>
      <c r="J59" s="5"/>
      <c r="K59" s="5"/>
      <c r="L59" s="5"/>
      <c r="M59" s="7"/>
    </row>
    <row r="60" spans="8:13">
      <c r="H60" s="5"/>
      <c r="I60" s="5"/>
      <c r="J60" s="5"/>
      <c r="K60" s="5"/>
      <c r="L60" s="5"/>
      <c r="M60" s="7"/>
    </row>
    <row r="61" spans="8:13">
      <c r="H61" s="5"/>
      <c r="I61" s="5"/>
      <c r="J61" s="5"/>
      <c r="K61" s="5"/>
      <c r="L61" s="5"/>
      <c r="M61" s="7"/>
    </row>
    <row r="62" spans="8:13">
      <c r="H62" s="5"/>
      <c r="I62" s="5"/>
      <c r="J62" s="5"/>
      <c r="K62" s="5"/>
      <c r="L62" s="5"/>
      <c r="M62" s="7"/>
    </row>
    <row r="63" spans="8:13">
      <c r="H63" s="5"/>
      <c r="I63" s="5"/>
      <c r="J63" s="5"/>
      <c r="K63" s="5"/>
      <c r="L63" s="5"/>
      <c r="M63" s="7"/>
    </row>
    <row r="64" spans="8:13">
      <c r="H64" s="5"/>
      <c r="I64" s="5"/>
      <c r="J64" s="5"/>
      <c r="K64" s="5"/>
      <c r="L64" s="5"/>
      <c r="M64" s="7"/>
    </row>
    <row r="65" spans="8:13">
      <c r="H65" s="5"/>
      <c r="I65" s="5"/>
      <c r="J65" s="5"/>
      <c r="K65" s="5"/>
      <c r="L65" s="5"/>
      <c r="M65" s="7"/>
    </row>
    <row r="66" spans="8:13">
      <c r="H66" s="5"/>
      <c r="I66" s="5"/>
      <c r="J66" s="5"/>
      <c r="K66" s="5"/>
      <c r="L66" s="5"/>
      <c r="M66" s="7"/>
    </row>
    <row r="67" spans="8:13">
      <c r="H67" s="5"/>
      <c r="I67" s="5"/>
      <c r="J67" s="5"/>
      <c r="K67" s="5"/>
      <c r="L67" s="5"/>
      <c r="M67" s="7"/>
    </row>
    <row r="68" spans="8:13">
      <c r="H68" s="5"/>
      <c r="I68" s="5"/>
      <c r="J68" s="5"/>
      <c r="K68" s="5"/>
      <c r="L68" s="5"/>
      <c r="M68" s="7"/>
    </row>
    <row r="69" spans="8:13">
      <c r="H69" s="5"/>
      <c r="I69" s="5"/>
      <c r="J69" s="5"/>
      <c r="K69" s="5"/>
      <c r="L69" s="5"/>
      <c r="M69" s="7"/>
    </row>
    <row r="70" spans="8:13">
      <c r="H70" s="5"/>
      <c r="I70" s="5"/>
      <c r="J70" s="5"/>
      <c r="K70" s="5"/>
      <c r="L70" s="5"/>
      <c r="M70" s="7"/>
    </row>
    <row r="71" spans="8:13">
      <c r="H71" s="5"/>
      <c r="I71" s="5"/>
      <c r="J71" s="5"/>
      <c r="K71" s="5"/>
      <c r="L71" s="5"/>
      <c r="M71" s="7"/>
    </row>
    <row r="72" spans="8:13">
      <c r="H72" s="5"/>
      <c r="I72" s="5"/>
      <c r="J72" s="5"/>
      <c r="K72" s="5"/>
      <c r="L72" s="5"/>
      <c r="M72" s="7"/>
    </row>
    <row r="73" spans="8:13">
      <c r="H73" s="5"/>
      <c r="I73" s="5"/>
      <c r="J73" s="5"/>
      <c r="K73" s="5"/>
      <c r="L73" s="5"/>
      <c r="M73" s="7"/>
    </row>
    <row r="74" spans="8:13">
      <c r="H74" s="5"/>
      <c r="I74" s="5"/>
      <c r="J74" s="5"/>
      <c r="K74" s="5"/>
      <c r="L74" s="5"/>
      <c r="M74" s="7"/>
    </row>
    <row r="75" spans="8:13">
      <c r="H75" s="5"/>
      <c r="I75" s="5"/>
      <c r="J75" s="5"/>
      <c r="K75" s="5"/>
      <c r="L75" s="5"/>
      <c r="M75" s="7"/>
    </row>
    <row r="76" spans="8:13">
      <c r="H76" s="5"/>
      <c r="I76" s="5"/>
      <c r="J76" s="5"/>
      <c r="K76" s="5"/>
      <c r="L76" s="5"/>
      <c r="M76" s="7"/>
    </row>
    <row r="77" spans="8:13">
      <c r="H77" s="5"/>
      <c r="I77" s="5"/>
      <c r="J77" s="5"/>
      <c r="K77" s="5"/>
      <c r="L77" s="5"/>
      <c r="M77" s="7"/>
    </row>
    <row r="78" spans="8:13">
      <c r="H78" s="5"/>
      <c r="I78" s="5"/>
      <c r="J78" s="5"/>
      <c r="K78" s="5"/>
      <c r="L78" s="5"/>
      <c r="M78" s="7"/>
    </row>
    <row r="79" spans="8:13">
      <c r="H79" s="5"/>
      <c r="I79" s="5"/>
      <c r="J79" s="5"/>
      <c r="K79" s="5"/>
      <c r="L79" s="5"/>
      <c r="M79" s="7"/>
    </row>
    <row r="80" spans="8:13">
      <c r="H80" s="5"/>
      <c r="I80" s="5"/>
      <c r="J80" s="5"/>
      <c r="K80" s="5"/>
      <c r="L80" s="5"/>
      <c r="M80" s="7"/>
    </row>
    <row r="81" spans="8:13">
      <c r="H81" s="5"/>
      <c r="I81" s="5"/>
      <c r="J81" s="5"/>
      <c r="K81" s="5"/>
      <c r="L81" s="5"/>
      <c r="M81" s="7"/>
    </row>
    <row r="82" spans="8:13">
      <c r="H82" s="5"/>
      <c r="I82" s="5"/>
      <c r="J82" s="5"/>
      <c r="K82" s="5"/>
      <c r="L82" s="5"/>
      <c r="M82" s="7"/>
    </row>
    <row r="83" spans="8:13">
      <c r="H83" s="5"/>
      <c r="I83" s="5"/>
      <c r="J83" s="5"/>
      <c r="K83" s="5"/>
      <c r="L83" s="5"/>
      <c r="M83" s="7"/>
    </row>
    <row r="84" spans="8:13">
      <c r="H84" s="5"/>
      <c r="I84" s="5"/>
      <c r="J84" s="5"/>
      <c r="K84" s="5"/>
      <c r="L84" s="5"/>
      <c r="M84" s="7"/>
    </row>
    <row r="85" spans="8:13">
      <c r="H85" s="5"/>
      <c r="I85" s="5"/>
      <c r="J85" s="5"/>
      <c r="K85" s="5"/>
      <c r="L85" s="5"/>
      <c r="M85" s="7"/>
    </row>
    <row r="86" spans="8:13">
      <c r="H86" s="5"/>
      <c r="I86" s="5"/>
      <c r="J86" s="5"/>
      <c r="K86" s="5"/>
      <c r="L86" s="5"/>
      <c r="M86" s="7"/>
    </row>
    <row r="87" spans="8:13">
      <c r="H87" s="5"/>
      <c r="I87" s="5"/>
      <c r="J87" s="5"/>
      <c r="K87" s="5"/>
      <c r="L87" s="5"/>
      <c r="M87" s="7"/>
    </row>
    <row r="88" spans="8:13">
      <c r="H88" s="5"/>
      <c r="I88" s="5"/>
      <c r="J88" s="5"/>
      <c r="K88" s="5"/>
      <c r="L88" s="5"/>
      <c r="M88" s="7"/>
    </row>
    <row r="89" spans="8:13">
      <c r="H89" s="5"/>
      <c r="I89" s="5"/>
      <c r="J89" s="5"/>
      <c r="K89" s="5"/>
      <c r="L89" s="5"/>
      <c r="M89" s="7"/>
    </row>
    <row r="90" spans="8:13">
      <c r="H90" s="5"/>
      <c r="I90" s="5"/>
      <c r="J90" s="5"/>
      <c r="K90" s="5"/>
      <c r="L90" s="5"/>
      <c r="M90" s="7"/>
    </row>
    <row r="91" spans="8:13">
      <c r="H91" s="5"/>
      <c r="I91" s="5"/>
      <c r="J91" s="5"/>
      <c r="K91" s="5"/>
      <c r="L91" s="5"/>
      <c r="M91" s="7"/>
    </row>
    <row r="92" spans="8:13">
      <c r="H92" s="5"/>
      <c r="I92" s="5"/>
      <c r="J92" s="5"/>
      <c r="K92" s="5"/>
      <c r="L92" s="5"/>
      <c r="M92" s="7"/>
    </row>
    <row r="93" spans="8:13">
      <c r="H93" s="5"/>
      <c r="I93" s="5"/>
      <c r="J93" s="5"/>
      <c r="K93" s="5"/>
      <c r="L93" s="5"/>
      <c r="M93" s="7"/>
    </row>
    <row r="94" spans="8:13">
      <c r="H94" s="5"/>
      <c r="I94" s="5"/>
      <c r="J94" s="5"/>
      <c r="K94" s="5"/>
      <c r="L94" s="5"/>
      <c r="M94" s="7"/>
    </row>
    <row r="95" spans="8:13">
      <c r="H95" s="5"/>
      <c r="I95" s="5"/>
      <c r="J95" s="5"/>
      <c r="K95" s="5"/>
      <c r="L95" s="5"/>
      <c r="M95" s="7"/>
    </row>
    <row r="96" spans="8:13">
      <c r="H96" s="5"/>
      <c r="I96" s="5"/>
      <c r="J96" s="5"/>
      <c r="K96" s="5"/>
      <c r="L96" s="5"/>
      <c r="M96" s="7"/>
    </row>
    <row r="97" spans="8:13">
      <c r="H97" s="5"/>
      <c r="I97" s="5"/>
      <c r="J97" s="5"/>
      <c r="K97" s="5"/>
      <c r="L97" s="5"/>
      <c r="M97" s="7"/>
    </row>
    <row r="98" spans="8:13">
      <c r="H98" s="5"/>
      <c r="I98" s="5"/>
      <c r="J98" s="5"/>
      <c r="K98" s="5"/>
      <c r="L98" s="5"/>
      <c r="M98" s="7"/>
    </row>
    <row r="99" spans="8:13">
      <c r="H99" s="5"/>
      <c r="I99" s="5"/>
      <c r="J99" s="5"/>
      <c r="K99" s="5"/>
      <c r="L99" s="5"/>
      <c r="M99" s="7"/>
    </row>
    <row r="100" spans="8:13">
      <c r="H100" s="5"/>
      <c r="I100" s="5"/>
      <c r="J100" s="5"/>
      <c r="K100" s="5"/>
      <c r="L100" s="5"/>
      <c r="M100" s="7"/>
    </row>
  </sheetData>
  <conditionalFormatting sqref="N2:N100">
    <cfRule type="expression" dxfId="2" priority="1">
      <formula>N2="Stockout Risk"</formula>
    </cfRule>
    <cfRule type="expression" dxfId="1" priority="2">
      <formula>N2="Excess Stock"</formula>
    </cfRule>
    <cfRule type="expression" dxfId="0" priority="3">
      <formula>N2="Balanced"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>
      <selection sqref="A1:B1"/>
    </sheetView>
  </sheetViews>
  <sheetFormatPr baseColWidth="10" defaultColWidth="8.83203125" defaultRowHeight="15"/>
  <cols>
    <col min="1" max="1" width="32" customWidth="1"/>
    <col min="2" max="2" width="88" customWidth="1"/>
  </cols>
  <sheetData>
    <row r="1" spans="1:2" ht="18" customHeight="1">
      <c r="A1" s="14" t="s">
        <v>659</v>
      </c>
      <c r="B1" s="15"/>
    </row>
    <row r="2" spans="1:2" ht="15" customHeight="1">
      <c r="A2" s="1" t="s">
        <v>660</v>
      </c>
      <c r="B2" t="s">
        <v>661</v>
      </c>
    </row>
    <row r="3" spans="1:2" ht="15" customHeight="1">
      <c r="A3" s="1" t="s">
        <v>662</v>
      </c>
      <c r="B3" t="s">
        <v>663</v>
      </c>
    </row>
    <row r="4" spans="1:2" ht="15" customHeight="1">
      <c r="A4" s="1" t="s">
        <v>664</v>
      </c>
      <c r="B4" t="s">
        <v>665</v>
      </c>
    </row>
    <row r="5" spans="1:2" ht="15" customHeight="1">
      <c r="A5" s="1" t="s">
        <v>666</v>
      </c>
      <c r="B5" t="s">
        <v>667</v>
      </c>
    </row>
    <row r="6" spans="1:2" ht="15" customHeight="1">
      <c r="A6" s="1" t="s">
        <v>668</v>
      </c>
      <c r="B6" t="s">
        <v>669</v>
      </c>
    </row>
    <row r="7" spans="1:2" ht="15" customHeight="1">
      <c r="A7" s="1" t="s">
        <v>670</v>
      </c>
      <c r="B7" t="s">
        <v>671</v>
      </c>
    </row>
    <row r="8" spans="1:2" ht="15" customHeight="1">
      <c r="A8" s="1" t="s">
        <v>672</v>
      </c>
      <c r="B8" t="s">
        <v>673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27" sqref="B27"/>
    </sheetView>
  </sheetViews>
  <sheetFormatPr baseColWidth="10" defaultColWidth="8.83203125" defaultRowHeight="15"/>
  <cols>
    <col min="1" max="1" width="28" customWidth="1"/>
    <col min="2" max="2" width="80" customWidth="1"/>
  </cols>
  <sheetData>
    <row r="1" spans="1:2" ht="18" customHeight="1">
      <c r="A1" s="14" t="s">
        <v>0</v>
      </c>
      <c r="B1" s="15"/>
    </row>
    <row r="2" spans="1:2" ht="15" customHeight="1">
      <c r="A2" s="1" t="s">
        <v>1</v>
      </c>
      <c r="B2" s="3">
        <v>45839</v>
      </c>
    </row>
    <row r="3" spans="1:2" ht="15" customHeight="1">
      <c r="A3" s="1" t="s">
        <v>2</v>
      </c>
      <c r="B3" s="9">
        <v>1.65</v>
      </c>
    </row>
    <row r="4" spans="1:2" ht="15" customHeight="1">
      <c r="A4" s="1" t="s">
        <v>3</v>
      </c>
      <c r="B4" t="s">
        <v>4</v>
      </c>
    </row>
    <row r="5" spans="1:2" ht="15" customHeight="1">
      <c r="A5" s="1" t="s">
        <v>5</v>
      </c>
      <c r="B5" t="s">
        <v>6</v>
      </c>
    </row>
    <row r="6" spans="1:2" ht="15" customHeight="1">
      <c r="A6" s="1" t="s">
        <v>7</v>
      </c>
      <c r="B6" t="s">
        <v>8</v>
      </c>
    </row>
    <row r="7" spans="1:2" ht="15" customHeight="1">
      <c r="A7" s="1" t="s">
        <v>9</v>
      </c>
      <c r="B7" t="s">
        <v>10</v>
      </c>
    </row>
    <row r="8" spans="1:2" ht="15" customHeight="1">
      <c r="A8" s="1" t="s">
        <v>11</v>
      </c>
      <c r="B8" t="s">
        <v>12</v>
      </c>
    </row>
    <row r="9" spans="1:2" ht="15" customHeight="1">
      <c r="A9" s="1" t="s">
        <v>13</v>
      </c>
      <c r="B9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Project_Overview</vt:lpstr>
      <vt:lpstr>Dashboard</vt:lpstr>
      <vt:lpstr>Raw_Data</vt:lpstr>
      <vt:lpstr>Cleaned_Demand</vt:lpstr>
      <vt:lpstr>SKU_Master</vt:lpstr>
      <vt:lpstr>Forecast_Model</vt:lpstr>
      <vt:lpstr>Reorder_Planning</vt:lpstr>
      <vt:lpstr>Trend_Analysis</vt:lpstr>
      <vt:lpstr>Inventory_Risk_Review</vt:lpstr>
      <vt:lpstr>Planning_View</vt:lpstr>
      <vt:lpstr>Summary_Findings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Sample</dc:title>
  <cp:lastModifiedBy>Essa Shahid Arshad</cp:lastModifiedBy>
  <dcterms:created xsi:type="dcterms:W3CDTF">2026-08-19T10:19:44Z</dcterms:created>
  <dcterms:modified xsi:type="dcterms:W3CDTF">2026-08-19T11:00:07Z</dcterms:modified>
</cp:coreProperties>
</file>